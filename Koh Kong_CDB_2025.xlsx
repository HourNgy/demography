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y\Desktop\"/>
    </mc:Choice>
  </mc:AlternateContent>
  <xr:revisionPtr revIDLastSave="0" documentId="8_{69884573-A2F0-43F3-AC92-83D98ED9F0B3}" xr6:coauthVersionLast="47" xr6:coauthVersionMax="47" xr10:uidLastSave="{00000000-0000-0000-0000-000000000000}"/>
  <bookViews>
    <workbookView xWindow="-120" yWindow="-120" windowWidth="20730" windowHeight="11160" xr2:uid="{3DB597F1-7E5A-4FD9-BAA5-17517AB4EF84}"/>
  </bookViews>
  <sheets>
    <sheet name="CDB_2025" sheetId="1" r:id="rId1"/>
  </sheets>
  <externalReferences>
    <externalReference r:id="rId2"/>
  </externalReferences>
  <definedNames>
    <definedName name="_xlnm._FilterDatabase" localSheetId="0" hidden="1">CDB_2025!$B$6:$B$242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41" i="1" l="1"/>
  <c r="J241" i="1"/>
  <c r="I241" i="1"/>
  <c r="H241" i="1"/>
  <c r="G241" i="1"/>
  <c r="F241" i="1"/>
  <c r="E241" i="1"/>
  <c r="D241" i="1"/>
  <c r="K240" i="1"/>
  <c r="J240" i="1"/>
  <c r="I240" i="1"/>
  <c r="H240" i="1"/>
  <c r="G240" i="1"/>
  <c r="F240" i="1"/>
  <c r="E240" i="1"/>
  <c r="D240" i="1"/>
  <c r="K239" i="1"/>
  <c r="J239" i="1"/>
  <c r="I239" i="1"/>
  <c r="H239" i="1"/>
  <c r="G239" i="1"/>
  <c r="F239" i="1"/>
  <c r="E239" i="1"/>
  <c r="D239" i="1"/>
  <c r="K238" i="1"/>
  <c r="J238" i="1"/>
  <c r="I238" i="1"/>
  <c r="H238" i="1"/>
  <c r="G238" i="1"/>
  <c r="F238" i="1"/>
  <c r="E238" i="1"/>
  <c r="D238" i="1"/>
  <c r="K237" i="1"/>
  <c r="J237" i="1"/>
  <c r="I237" i="1"/>
  <c r="H237" i="1"/>
  <c r="G237" i="1"/>
  <c r="F237" i="1"/>
  <c r="E237" i="1"/>
  <c r="D237" i="1"/>
  <c r="K236" i="1"/>
  <c r="J236" i="1"/>
  <c r="I236" i="1"/>
  <c r="H236" i="1"/>
  <c r="G236" i="1"/>
  <c r="F236" i="1"/>
  <c r="E236" i="1"/>
  <c r="D236" i="1"/>
  <c r="K235" i="1"/>
  <c r="J235" i="1"/>
  <c r="I235" i="1"/>
  <c r="H235" i="1"/>
  <c r="G235" i="1"/>
  <c r="F235" i="1"/>
  <c r="E235" i="1"/>
  <c r="E234" i="1" s="1"/>
  <c r="D235" i="1"/>
  <c r="K234" i="1"/>
  <c r="J234" i="1"/>
  <c r="I234" i="1"/>
  <c r="G234" i="1"/>
  <c r="F234" i="1"/>
  <c r="B234" i="1"/>
  <c r="K233" i="1"/>
  <c r="J233" i="1"/>
  <c r="I233" i="1"/>
  <c r="H233" i="1"/>
  <c r="G233" i="1"/>
  <c r="F233" i="1"/>
  <c r="E233" i="1"/>
  <c r="D233" i="1"/>
  <c r="K232" i="1"/>
  <c r="J232" i="1"/>
  <c r="I232" i="1"/>
  <c r="H232" i="1"/>
  <c r="G232" i="1"/>
  <c r="F232" i="1"/>
  <c r="E232" i="1"/>
  <c r="D232" i="1"/>
  <c r="K231" i="1"/>
  <c r="J231" i="1"/>
  <c r="I231" i="1"/>
  <c r="H231" i="1"/>
  <c r="G231" i="1"/>
  <c r="F231" i="1"/>
  <c r="E231" i="1"/>
  <c r="D231" i="1"/>
  <c r="K230" i="1"/>
  <c r="J230" i="1"/>
  <c r="I230" i="1"/>
  <c r="H230" i="1"/>
  <c r="G230" i="1"/>
  <c r="F230" i="1"/>
  <c r="E230" i="1"/>
  <c r="D230" i="1"/>
  <c r="K229" i="1"/>
  <c r="J229" i="1"/>
  <c r="I229" i="1"/>
  <c r="H229" i="1"/>
  <c r="G229" i="1"/>
  <c r="F229" i="1"/>
  <c r="E229" i="1"/>
  <c r="D229" i="1"/>
  <c r="B228" i="1"/>
  <c r="K227" i="1"/>
  <c r="J227" i="1"/>
  <c r="I227" i="1"/>
  <c r="H227" i="1"/>
  <c r="G227" i="1"/>
  <c r="F227" i="1"/>
  <c r="E227" i="1"/>
  <c r="D227" i="1"/>
  <c r="K226" i="1"/>
  <c r="J226" i="1"/>
  <c r="I226" i="1"/>
  <c r="H226" i="1"/>
  <c r="G226" i="1"/>
  <c r="F226" i="1"/>
  <c r="E226" i="1"/>
  <c r="D226" i="1"/>
  <c r="K225" i="1"/>
  <c r="J225" i="1"/>
  <c r="I225" i="1"/>
  <c r="H225" i="1"/>
  <c r="G225" i="1"/>
  <c r="F225" i="1"/>
  <c r="E225" i="1"/>
  <c r="D225" i="1"/>
  <c r="K224" i="1"/>
  <c r="J224" i="1"/>
  <c r="I224" i="1"/>
  <c r="H224" i="1"/>
  <c r="G224" i="1"/>
  <c r="F224" i="1"/>
  <c r="E224" i="1"/>
  <c r="D224" i="1"/>
  <c r="K223" i="1"/>
  <c r="J223" i="1"/>
  <c r="I223" i="1"/>
  <c r="H223" i="1"/>
  <c r="G223" i="1"/>
  <c r="F223" i="1"/>
  <c r="E223" i="1"/>
  <c r="D223" i="1"/>
  <c r="K222" i="1"/>
  <c r="J222" i="1"/>
  <c r="I222" i="1"/>
  <c r="H222" i="1"/>
  <c r="G222" i="1"/>
  <c r="F222" i="1"/>
  <c r="E222" i="1"/>
  <c r="D222" i="1"/>
  <c r="B221" i="1"/>
  <c r="K220" i="1"/>
  <c r="J220" i="1"/>
  <c r="I220" i="1"/>
  <c r="H220" i="1"/>
  <c r="G220" i="1"/>
  <c r="F220" i="1"/>
  <c r="E220" i="1"/>
  <c r="D220" i="1"/>
  <c r="K219" i="1"/>
  <c r="J219" i="1"/>
  <c r="I219" i="1"/>
  <c r="H219" i="1"/>
  <c r="G219" i="1"/>
  <c r="F219" i="1"/>
  <c r="E219" i="1"/>
  <c r="D219" i="1"/>
  <c r="K218" i="1"/>
  <c r="J218" i="1"/>
  <c r="I218" i="1"/>
  <c r="H218" i="1"/>
  <c r="G218" i="1"/>
  <c r="F218" i="1"/>
  <c r="E218" i="1"/>
  <c r="D218" i="1"/>
  <c r="K217" i="1"/>
  <c r="J217" i="1"/>
  <c r="I217" i="1"/>
  <c r="H217" i="1"/>
  <c r="G217" i="1"/>
  <c r="F217" i="1"/>
  <c r="E217" i="1"/>
  <c r="D217" i="1"/>
  <c r="K216" i="1"/>
  <c r="J216" i="1"/>
  <c r="I216" i="1"/>
  <c r="H216" i="1"/>
  <c r="G216" i="1"/>
  <c r="F216" i="1"/>
  <c r="E216" i="1"/>
  <c r="D216" i="1"/>
  <c r="K215" i="1"/>
  <c r="J215" i="1"/>
  <c r="I215" i="1"/>
  <c r="H215" i="1"/>
  <c r="G215" i="1"/>
  <c r="F215" i="1"/>
  <c r="E215" i="1"/>
  <c r="D215" i="1"/>
  <c r="K214" i="1"/>
  <c r="J214" i="1"/>
  <c r="I214" i="1"/>
  <c r="H214" i="1"/>
  <c r="G214" i="1"/>
  <c r="F214" i="1"/>
  <c r="E214" i="1"/>
  <c r="D214" i="1"/>
  <c r="K213" i="1"/>
  <c r="J213" i="1"/>
  <c r="I213" i="1"/>
  <c r="H213" i="1"/>
  <c r="G213" i="1"/>
  <c r="F213" i="1"/>
  <c r="E213" i="1"/>
  <c r="D213" i="1"/>
  <c r="B212" i="1"/>
  <c r="K211" i="1"/>
  <c r="J211" i="1"/>
  <c r="I211" i="1"/>
  <c r="H211" i="1"/>
  <c r="G211" i="1"/>
  <c r="F211" i="1"/>
  <c r="E211" i="1"/>
  <c r="D211" i="1"/>
  <c r="K210" i="1"/>
  <c r="J210" i="1"/>
  <c r="I210" i="1"/>
  <c r="H210" i="1"/>
  <c r="G210" i="1"/>
  <c r="F210" i="1"/>
  <c r="E210" i="1"/>
  <c r="D210" i="1"/>
  <c r="K209" i="1"/>
  <c r="J209" i="1"/>
  <c r="I209" i="1"/>
  <c r="H209" i="1"/>
  <c r="G209" i="1"/>
  <c r="F209" i="1"/>
  <c r="E209" i="1"/>
  <c r="D209" i="1"/>
  <c r="K208" i="1"/>
  <c r="J208" i="1"/>
  <c r="I208" i="1"/>
  <c r="H208" i="1"/>
  <c r="G208" i="1"/>
  <c r="F208" i="1"/>
  <c r="E208" i="1"/>
  <c r="D208" i="1"/>
  <c r="K207" i="1"/>
  <c r="J207" i="1"/>
  <c r="I207" i="1"/>
  <c r="H207" i="1"/>
  <c r="G207" i="1"/>
  <c r="F207" i="1"/>
  <c r="E207" i="1"/>
  <c r="D207" i="1"/>
  <c r="K205" i="1"/>
  <c r="J205" i="1"/>
  <c r="I205" i="1"/>
  <c r="H205" i="1"/>
  <c r="G205" i="1"/>
  <c r="F205" i="1"/>
  <c r="E205" i="1"/>
  <c r="D205" i="1"/>
  <c r="K204" i="1"/>
  <c r="K206" i="1" s="1"/>
  <c r="J204" i="1"/>
  <c r="J206" i="1" s="1"/>
  <c r="I204" i="1"/>
  <c r="I206" i="1" s="1"/>
  <c r="H204" i="1"/>
  <c r="H206" i="1" s="1"/>
  <c r="G204" i="1"/>
  <c r="G206" i="1" s="1"/>
  <c r="F204" i="1"/>
  <c r="F206" i="1" s="1"/>
  <c r="E204" i="1"/>
  <c r="E206" i="1" s="1"/>
  <c r="D204" i="1"/>
  <c r="D206" i="1" s="1"/>
  <c r="B203" i="1"/>
  <c r="K202" i="1"/>
  <c r="J202" i="1"/>
  <c r="I202" i="1"/>
  <c r="H202" i="1"/>
  <c r="G202" i="1"/>
  <c r="F202" i="1"/>
  <c r="E202" i="1"/>
  <c r="D202" i="1"/>
  <c r="K201" i="1"/>
  <c r="J201" i="1"/>
  <c r="I201" i="1"/>
  <c r="H201" i="1"/>
  <c r="G201" i="1"/>
  <c r="F201" i="1"/>
  <c r="E201" i="1"/>
  <c r="D201" i="1"/>
  <c r="K200" i="1"/>
  <c r="J200" i="1"/>
  <c r="I200" i="1"/>
  <c r="H200" i="1"/>
  <c r="G200" i="1"/>
  <c r="F200" i="1"/>
  <c r="E200" i="1"/>
  <c r="D200" i="1"/>
  <c r="K199" i="1"/>
  <c r="J199" i="1"/>
  <c r="I199" i="1"/>
  <c r="H199" i="1"/>
  <c r="G199" i="1"/>
  <c r="F199" i="1"/>
  <c r="E199" i="1"/>
  <c r="D199" i="1"/>
  <c r="K198" i="1"/>
  <c r="J198" i="1"/>
  <c r="I198" i="1"/>
  <c r="H198" i="1"/>
  <c r="G198" i="1"/>
  <c r="F198" i="1"/>
  <c r="E198" i="1"/>
  <c r="D198" i="1"/>
  <c r="K197" i="1"/>
  <c r="J197" i="1"/>
  <c r="I197" i="1"/>
  <c r="H197" i="1"/>
  <c r="G197" i="1"/>
  <c r="F197" i="1"/>
  <c r="E197" i="1"/>
  <c r="D197" i="1"/>
  <c r="K196" i="1"/>
  <c r="J196" i="1"/>
  <c r="I196" i="1"/>
  <c r="H196" i="1"/>
  <c r="G196" i="1"/>
  <c r="F196" i="1"/>
  <c r="E196" i="1"/>
  <c r="D196" i="1"/>
  <c r="K195" i="1"/>
  <c r="J195" i="1"/>
  <c r="I195" i="1"/>
  <c r="H195" i="1"/>
  <c r="G195" i="1"/>
  <c r="F195" i="1"/>
  <c r="E195" i="1"/>
  <c r="D195" i="1"/>
  <c r="K194" i="1"/>
  <c r="J194" i="1"/>
  <c r="I194" i="1"/>
  <c r="H194" i="1"/>
  <c r="G194" i="1"/>
  <c r="F194" i="1"/>
  <c r="E194" i="1"/>
  <c r="D194" i="1"/>
  <c r="B193" i="1"/>
  <c r="K192" i="1"/>
  <c r="J192" i="1"/>
  <c r="I192" i="1"/>
  <c r="H192" i="1"/>
  <c r="G192" i="1"/>
  <c r="F192" i="1"/>
  <c r="E192" i="1"/>
  <c r="D192" i="1"/>
  <c r="K191" i="1"/>
  <c r="J191" i="1"/>
  <c r="I191" i="1"/>
  <c r="H191" i="1"/>
  <c r="G191" i="1"/>
  <c r="F191" i="1"/>
  <c r="E191" i="1"/>
  <c r="D191" i="1"/>
  <c r="K190" i="1"/>
  <c r="J190" i="1"/>
  <c r="I190" i="1"/>
  <c r="H190" i="1"/>
  <c r="G190" i="1"/>
  <c r="F190" i="1"/>
  <c r="E190" i="1"/>
  <c r="D190" i="1"/>
  <c r="K189" i="1"/>
  <c r="J189" i="1"/>
  <c r="I189" i="1"/>
  <c r="H189" i="1"/>
  <c r="G189" i="1"/>
  <c r="F189" i="1"/>
  <c r="E189" i="1"/>
  <c r="D189" i="1"/>
  <c r="B189" i="1"/>
  <c r="K188" i="1"/>
  <c r="J188" i="1"/>
  <c r="I188" i="1"/>
  <c r="H188" i="1"/>
  <c r="G188" i="1"/>
  <c r="F188" i="1"/>
  <c r="E188" i="1"/>
  <c r="D188" i="1"/>
  <c r="K187" i="1"/>
  <c r="J187" i="1"/>
  <c r="I187" i="1"/>
  <c r="H187" i="1"/>
  <c r="G187" i="1"/>
  <c r="F187" i="1"/>
  <c r="E187" i="1"/>
  <c r="D187" i="1"/>
  <c r="K186" i="1"/>
  <c r="J186" i="1"/>
  <c r="I186" i="1"/>
  <c r="H186" i="1"/>
  <c r="G186" i="1"/>
  <c r="F186" i="1"/>
  <c r="E186" i="1"/>
  <c r="D186" i="1"/>
  <c r="K185" i="1"/>
  <c r="J185" i="1"/>
  <c r="I185" i="1"/>
  <c r="H185" i="1"/>
  <c r="G185" i="1"/>
  <c r="F185" i="1"/>
  <c r="E185" i="1"/>
  <c r="D185" i="1"/>
  <c r="B185" i="1"/>
  <c r="K184" i="1"/>
  <c r="J184" i="1"/>
  <c r="I184" i="1"/>
  <c r="H184" i="1"/>
  <c r="G184" i="1"/>
  <c r="F184" i="1"/>
  <c r="E184" i="1"/>
  <c r="D184" i="1"/>
  <c r="K183" i="1"/>
  <c r="J183" i="1"/>
  <c r="I183" i="1"/>
  <c r="H183" i="1"/>
  <c r="G183" i="1"/>
  <c r="F183" i="1"/>
  <c r="E183" i="1"/>
  <c r="D183" i="1"/>
  <c r="K182" i="1"/>
  <c r="J182" i="1"/>
  <c r="I182" i="1"/>
  <c r="H182" i="1"/>
  <c r="G182" i="1"/>
  <c r="F182" i="1"/>
  <c r="E182" i="1"/>
  <c r="D182" i="1"/>
  <c r="K181" i="1"/>
  <c r="J181" i="1"/>
  <c r="I181" i="1"/>
  <c r="H181" i="1"/>
  <c r="G181" i="1"/>
  <c r="F181" i="1"/>
  <c r="E181" i="1"/>
  <c r="D181" i="1"/>
  <c r="B181" i="1"/>
  <c r="K180" i="1"/>
  <c r="J180" i="1"/>
  <c r="I180" i="1"/>
  <c r="H180" i="1"/>
  <c r="G180" i="1"/>
  <c r="F180" i="1"/>
  <c r="E180" i="1"/>
  <c r="D180" i="1"/>
  <c r="K179" i="1"/>
  <c r="J179" i="1"/>
  <c r="I179" i="1"/>
  <c r="H179" i="1"/>
  <c r="G179" i="1"/>
  <c r="F179" i="1"/>
  <c r="E179" i="1"/>
  <c r="D179" i="1"/>
  <c r="K178" i="1"/>
  <c r="J178" i="1"/>
  <c r="I178" i="1"/>
  <c r="H178" i="1"/>
  <c r="G178" i="1"/>
  <c r="F178" i="1"/>
  <c r="E178" i="1"/>
  <c r="E177" i="1" s="1"/>
  <c r="D178" i="1"/>
  <c r="D177" i="1" s="1"/>
  <c r="K177" i="1"/>
  <c r="J177" i="1"/>
  <c r="I177" i="1"/>
  <c r="H177" i="1"/>
  <c r="G177" i="1"/>
  <c r="F177" i="1"/>
  <c r="B177" i="1"/>
  <c r="K176" i="1"/>
  <c r="J176" i="1"/>
  <c r="I176" i="1"/>
  <c r="H176" i="1"/>
  <c r="G176" i="1"/>
  <c r="F176" i="1"/>
  <c r="E176" i="1"/>
  <c r="D176" i="1"/>
  <c r="K175" i="1"/>
  <c r="J175" i="1"/>
  <c r="I175" i="1"/>
  <c r="H175" i="1"/>
  <c r="G175" i="1"/>
  <c r="F175" i="1"/>
  <c r="E175" i="1"/>
  <c r="D175" i="1"/>
  <c r="K174" i="1"/>
  <c r="J174" i="1"/>
  <c r="I174" i="1"/>
  <c r="H174" i="1"/>
  <c r="G174" i="1"/>
  <c r="F174" i="1"/>
  <c r="F173" i="1" s="1"/>
  <c r="E174" i="1"/>
  <c r="D174" i="1"/>
  <c r="D173" i="1" s="1"/>
  <c r="K173" i="1"/>
  <c r="J173" i="1"/>
  <c r="I173" i="1"/>
  <c r="H173" i="1"/>
  <c r="G173" i="1"/>
  <c r="E173" i="1"/>
  <c r="B173" i="1"/>
  <c r="K172" i="1"/>
  <c r="J172" i="1"/>
  <c r="I172" i="1"/>
  <c r="H172" i="1"/>
  <c r="G172" i="1"/>
  <c r="F172" i="1"/>
  <c r="E172" i="1"/>
  <c r="D172" i="1"/>
  <c r="K171" i="1"/>
  <c r="J171" i="1"/>
  <c r="I171" i="1"/>
  <c r="H171" i="1"/>
  <c r="G171" i="1"/>
  <c r="F171" i="1"/>
  <c r="E171" i="1"/>
  <c r="D171" i="1"/>
  <c r="K170" i="1"/>
  <c r="J170" i="1"/>
  <c r="I170" i="1"/>
  <c r="H170" i="1"/>
  <c r="G170" i="1"/>
  <c r="G169" i="1" s="1"/>
  <c r="F170" i="1"/>
  <c r="E170" i="1"/>
  <c r="D170" i="1"/>
  <c r="D169" i="1" s="1"/>
  <c r="K169" i="1"/>
  <c r="J169" i="1"/>
  <c r="I169" i="1"/>
  <c r="H169" i="1"/>
  <c r="F169" i="1"/>
  <c r="E169" i="1"/>
  <c r="B169" i="1"/>
  <c r="K167" i="1"/>
  <c r="J167" i="1"/>
  <c r="I167" i="1"/>
  <c r="H167" i="1"/>
  <c r="G167" i="1"/>
  <c r="F167" i="1"/>
  <c r="E167" i="1"/>
  <c r="D167" i="1"/>
  <c r="K166" i="1"/>
  <c r="J166" i="1"/>
  <c r="I166" i="1"/>
  <c r="H166" i="1"/>
  <c r="G166" i="1"/>
  <c r="F166" i="1"/>
  <c r="E166" i="1"/>
  <c r="D166" i="1"/>
  <c r="K165" i="1"/>
  <c r="K168" i="1" s="1"/>
  <c r="J165" i="1"/>
  <c r="J168" i="1" s="1"/>
  <c r="I165" i="1"/>
  <c r="I168" i="1" s="1"/>
  <c r="H165" i="1"/>
  <c r="H168" i="1" s="1"/>
  <c r="G165" i="1"/>
  <c r="G168" i="1" s="1"/>
  <c r="F165" i="1"/>
  <c r="F168" i="1" s="1"/>
  <c r="E165" i="1"/>
  <c r="E168" i="1" s="1"/>
  <c r="D165" i="1"/>
  <c r="D168" i="1" s="1"/>
  <c r="K163" i="1"/>
  <c r="J163" i="1"/>
  <c r="I163" i="1"/>
  <c r="H163" i="1"/>
  <c r="G163" i="1"/>
  <c r="F163" i="1"/>
  <c r="E163" i="1"/>
  <c r="D163" i="1"/>
  <c r="K162" i="1"/>
  <c r="J162" i="1"/>
  <c r="I162" i="1"/>
  <c r="H162" i="1"/>
  <c r="G162" i="1"/>
  <c r="F162" i="1"/>
  <c r="E162" i="1"/>
  <c r="D162" i="1"/>
  <c r="K161" i="1"/>
  <c r="K164" i="1" s="1"/>
  <c r="J161" i="1"/>
  <c r="J164" i="1" s="1"/>
  <c r="I161" i="1"/>
  <c r="I164" i="1" s="1"/>
  <c r="H161" i="1"/>
  <c r="H164" i="1" s="1"/>
  <c r="G161" i="1"/>
  <c r="G164" i="1" s="1"/>
  <c r="F161" i="1"/>
  <c r="F164" i="1" s="1"/>
  <c r="E161" i="1"/>
  <c r="E164" i="1" s="1"/>
  <c r="D161" i="1"/>
  <c r="D164" i="1" s="1"/>
  <c r="B160" i="1"/>
  <c r="K159" i="1"/>
  <c r="J159" i="1"/>
  <c r="I159" i="1"/>
  <c r="H159" i="1"/>
  <c r="G159" i="1"/>
  <c r="F159" i="1"/>
  <c r="E159" i="1"/>
  <c r="D159" i="1"/>
  <c r="K158" i="1"/>
  <c r="J158" i="1"/>
  <c r="I158" i="1"/>
  <c r="H158" i="1"/>
  <c r="G158" i="1"/>
  <c r="F158" i="1"/>
  <c r="E158" i="1"/>
  <c r="D158" i="1"/>
  <c r="K157" i="1"/>
  <c r="J157" i="1"/>
  <c r="I157" i="1"/>
  <c r="H157" i="1"/>
  <c r="G157" i="1"/>
  <c r="F157" i="1"/>
  <c r="E157" i="1"/>
  <c r="D157" i="1"/>
  <c r="K156" i="1"/>
  <c r="J156" i="1"/>
  <c r="I156" i="1"/>
  <c r="H156" i="1"/>
  <c r="G156" i="1"/>
  <c r="F156" i="1"/>
  <c r="E156" i="1"/>
  <c r="D156" i="1"/>
  <c r="K155" i="1"/>
  <c r="J155" i="1"/>
  <c r="I155" i="1"/>
  <c r="H155" i="1"/>
  <c r="G155" i="1"/>
  <c r="F155" i="1"/>
  <c r="E155" i="1"/>
  <c r="D155" i="1"/>
  <c r="B154" i="1"/>
  <c r="K153" i="1"/>
  <c r="J153" i="1"/>
  <c r="I153" i="1"/>
  <c r="H153" i="1"/>
  <c r="G153" i="1"/>
  <c r="F153" i="1"/>
  <c r="E153" i="1"/>
  <c r="D153" i="1"/>
  <c r="K152" i="1"/>
  <c r="J152" i="1"/>
  <c r="I152" i="1"/>
  <c r="H152" i="1"/>
  <c r="G152" i="1"/>
  <c r="F152" i="1"/>
  <c r="E152" i="1"/>
  <c r="D152" i="1"/>
  <c r="K151" i="1"/>
  <c r="J151" i="1"/>
  <c r="I151" i="1"/>
  <c r="H151" i="1"/>
  <c r="G151" i="1"/>
  <c r="F151" i="1"/>
  <c r="E151" i="1"/>
  <c r="D151" i="1"/>
  <c r="K150" i="1"/>
  <c r="J150" i="1"/>
  <c r="I150" i="1"/>
  <c r="H150" i="1"/>
  <c r="G150" i="1"/>
  <c r="F150" i="1"/>
  <c r="E150" i="1"/>
  <c r="D150" i="1"/>
  <c r="K149" i="1"/>
  <c r="J149" i="1"/>
  <c r="I149" i="1"/>
  <c r="H149" i="1"/>
  <c r="G149" i="1"/>
  <c r="F149" i="1"/>
  <c r="E149" i="1"/>
  <c r="D149" i="1"/>
  <c r="K148" i="1"/>
  <c r="J148" i="1"/>
  <c r="I148" i="1"/>
  <c r="H148" i="1"/>
  <c r="G148" i="1"/>
  <c r="F148" i="1"/>
  <c r="E148" i="1"/>
  <c r="D148" i="1"/>
  <c r="K147" i="1"/>
  <c r="J147" i="1"/>
  <c r="I147" i="1"/>
  <c r="H147" i="1"/>
  <c r="G147" i="1"/>
  <c r="F147" i="1"/>
  <c r="E147" i="1"/>
  <c r="D147" i="1"/>
  <c r="B146" i="1"/>
  <c r="K145" i="1"/>
  <c r="J145" i="1"/>
  <c r="I145" i="1"/>
  <c r="H145" i="1"/>
  <c r="G145" i="1"/>
  <c r="F145" i="1"/>
  <c r="E145" i="1"/>
  <c r="D145" i="1"/>
  <c r="K144" i="1"/>
  <c r="J144" i="1"/>
  <c r="I144" i="1"/>
  <c r="H144" i="1"/>
  <c r="G144" i="1"/>
  <c r="F144" i="1"/>
  <c r="E144" i="1"/>
  <c r="D144" i="1"/>
  <c r="K143" i="1"/>
  <c r="J143" i="1"/>
  <c r="I143" i="1"/>
  <c r="H143" i="1"/>
  <c r="G143" i="1"/>
  <c r="F143" i="1"/>
  <c r="E143" i="1"/>
  <c r="D143" i="1"/>
  <c r="K142" i="1"/>
  <c r="J142" i="1"/>
  <c r="I142" i="1"/>
  <c r="H142" i="1"/>
  <c r="G142" i="1"/>
  <c r="F142" i="1"/>
  <c r="E142" i="1"/>
  <c r="D142" i="1"/>
  <c r="B141" i="1"/>
  <c r="K139" i="1"/>
  <c r="J139" i="1"/>
  <c r="I139" i="1"/>
  <c r="H139" i="1"/>
  <c r="G139" i="1"/>
  <c r="F139" i="1"/>
  <c r="E139" i="1"/>
  <c r="D139" i="1"/>
  <c r="K138" i="1"/>
  <c r="J138" i="1"/>
  <c r="I138" i="1"/>
  <c r="H138" i="1"/>
  <c r="G138" i="1"/>
  <c r="F138" i="1"/>
  <c r="E138" i="1"/>
  <c r="D138" i="1"/>
  <c r="K137" i="1"/>
  <c r="J137" i="1"/>
  <c r="I137" i="1"/>
  <c r="H137" i="1"/>
  <c r="G137" i="1"/>
  <c r="F137" i="1"/>
  <c r="E137" i="1"/>
  <c r="D137" i="1"/>
  <c r="K136" i="1"/>
  <c r="K140" i="1" s="1"/>
  <c r="J136" i="1"/>
  <c r="J140" i="1" s="1"/>
  <c r="I136" i="1"/>
  <c r="I140" i="1" s="1"/>
  <c r="H136" i="1"/>
  <c r="H140" i="1" s="1"/>
  <c r="G136" i="1"/>
  <c r="G140" i="1" s="1"/>
  <c r="F136" i="1"/>
  <c r="F140" i="1" s="1"/>
  <c r="E136" i="1"/>
  <c r="E140" i="1" s="1"/>
  <c r="D136" i="1"/>
  <c r="D140" i="1" s="1"/>
  <c r="K134" i="1"/>
  <c r="J134" i="1"/>
  <c r="I134" i="1"/>
  <c r="H134" i="1"/>
  <c r="G134" i="1"/>
  <c r="F134" i="1"/>
  <c r="E134" i="1"/>
  <c r="D134" i="1"/>
  <c r="K133" i="1"/>
  <c r="J133" i="1"/>
  <c r="I133" i="1"/>
  <c r="H133" i="1"/>
  <c r="G133" i="1"/>
  <c r="F133" i="1"/>
  <c r="E133" i="1"/>
  <c r="D133" i="1"/>
  <c r="K132" i="1"/>
  <c r="J132" i="1"/>
  <c r="I132" i="1"/>
  <c r="H132" i="1"/>
  <c r="G132" i="1"/>
  <c r="F132" i="1"/>
  <c r="E132" i="1"/>
  <c r="D132" i="1"/>
  <c r="K131" i="1"/>
  <c r="K135" i="1" s="1"/>
  <c r="J131" i="1"/>
  <c r="J135" i="1" s="1"/>
  <c r="I131" i="1"/>
  <c r="I135" i="1" s="1"/>
  <c r="H131" i="1"/>
  <c r="H135" i="1" s="1"/>
  <c r="G131" i="1"/>
  <c r="G135" i="1" s="1"/>
  <c r="F131" i="1"/>
  <c r="F135" i="1" s="1"/>
  <c r="E131" i="1"/>
  <c r="E135" i="1" s="1"/>
  <c r="D131" i="1"/>
  <c r="D135" i="1" s="1"/>
  <c r="B130" i="1"/>
  <c r="K129" i="1"/>
  <c r="J129" i="1"/>
  <c r="I129" i="1"/>
  <c r="H129" i="1"/>
  <c r="G129" i="1"/>
  <c r="F129" i="1"/>
  <c r="E129" i="1"/>
  <c r="D129" i="1"/>
  <c r="K128" i="1"/>
  <c r="J128" i="1"/>
  <c r="I128" i="1"/>
  <c r="H128" i="1"/>
  <c r="G128" i="1"/>
  <c r="F128" i="1"/>
  <c r="E128" i="1"/>
  <c r="D128" i="1"/>
  <c r="K126" i="1"/>
  <c r="J126" i="1"/>
  <c r="I126" i="1"/>
  <c r="H126" i="1"/>
  <c r="G126" i="1"/>
  <c r="F126" i="1"/>
  <c r="E126" i="1"/>
  <c r="D126" i="1"/>
  <c r="K125" i="1"/>
  <c r="J125" i="1"/>
  <c r="I125" i="1"/>
  <c r="H125" i="1"/>
  <c r="G125" i="1"/>
  <c r="F125" i="1"/>
  <c r="E125" i="1"/>
  <c r="D125" i="1"/>
  <c r="K124" i="1"/>
  <c r="K127" i="1" s="1"/>
  <c r="J124" i="1"/>
  <c r="J127" i="1" s="1"/>
  <c r="I124" i="1"/>
  <c r="I127" i="1" s="1"/>
  <c r="H124" i="1"/>
  <c r="H127" i="1" s="1"/>
  <c r="G124" i="1"/>
  <c r="G127" i="1" s="1"/>
  <c r="F124" i="1"/>
  <c r="F127" i="1" s="1"/>
  <c r="E124" i="1"/>
  <c r="E127" i="1" s="1"/>
  <c r="D124" i="1"/>
  <c r="D127" i="1" s="1"/>
  <c r="B123" i="1"/>
  <c r="K122" i="1"/>
  <c r="J122" i="1"/>
  <c r="I122" i="1"/>
  <c r="H122" i="1"/>
  <c r="G122" i="1"/>
  <c r="F122" i="1"/>
  <c r="E122" i="1"/>
  <c r="D122" i="1"/>
  <c r="B122" i="1"/>
  <c r="K121" i="1"/>
  <c r="J121" i="1"/>
  <c r="I121" i="1"/>
  <c r="H121" i="1"/>
  <c r="G121" i="1"/>
  <c r="F121" i="1"/>
  <c r="E121" i="1"/>
  <c r="D121" i="1"/>
  <c r="B121" i="1"/>
  <c r="K120" i="1"/>
  <c r="J120" i="1"/>
  <c r="I120" i="1"/>
  <c r="H120" i="1"/>
  <c r="G120" i="1"/>
  <c r="F120" i="1"/>
  <c r="E120" i="1"/>
  <c r="D120" i="1"/>
  <c r="B120" i="1"/>
  <c r="K119" i="1"/>
  <c r="J119" i="1"/>
  <c r="I119" i="1"/>
  <c r="H119" i="1"/>
  <c r="G119" i="1"/>
  <c r="F119" i="1"/>
  <c r="E119" i="1"/>
  <c r="D119" i="1"/>
  <c r="K118" i="1"/>
  <c r="J118" i="1"/>
  <c r="I118" i="1"/>
  <c r="H118" i="1"/>
  <c r="G118" i="1"/>
  <c r="F118" i="1"/>
  <c r="E118" i="1"/>
  <c r="D118" i="1"/>
  <c r="K117" i="1"/>
  <c r="J117" i="1"/>
  <c r="I117" i="1"/>
  <c r="H117" i="1"/>
  <c r="G117" i="1"/>
  <c r="F117" i="1"/>
  <c r="E117" i="1"/>
  <c r="D117" i="1"/>
  <c r="K116" i="1"/>
  <c r="J116" i="1"/>
  <c r="I116" i="1"/>
  <c r="H116" i="1"/>
  <c r="G116" i="1"/>
  <c r="F116" i="1"/>
  <c r="E116" i="1"/>
  <c r="D116" i="1"/>
  <c r="K115" i="1"/>
  <c r="J115" i="1"/>
  <c r="I115" i="1"/>
  <c r="H115" i="1"/>
  <c r="G115" i="1"/>
  <c r="F115" i="1"/>
  <c r="E115" i="1"/>
  <c r="D115" i="1"/>
  <c r="K114" i="1"/>
  <c r="J114" i="1"/>
  <c r="I114" i="1"/>
  <c r="H114" i="1"/>
  <c r="G114" i="1"/>
  <c r="F114" i="1"/>
  <c r="E114" i="1"/>
  <c r="D114" i="1"/>
  <c r="K113" i="1"/>
  <c r="J113" i="1"/>
  <c r="I113" i="1"/>
  <c r="H113" i="1"/>
  <c r="G113" i="1"/>
  <c r="F113" i="1"/>
  <c r="E113" i="1"/>
  <c r="D113" i="1"/>
  <c r="K112" i="1"/>
  <c r="J112" i="1"/>
  <c r="I112" i="1"/>
  <c r="H112" i="1"/>
  <c r="G112" i="1"/>
  <c r="F112" i="1"/>
  <c r="E112" i="1"/>
  <c r="D112" i="1"/>
  <c r="K111" i="1"/>
  <c r="J111" i="1"/>
  <c r="I111" i="1"/>
  <c r="H111" i="1"/>
  <c r="G111" i="1"/>
  <c r="F111" i="1"/>
  <c r="E111" i="1"/>
  <c r="D111" i="1"/>
  <c r="K110" i="1"/>
  <c r="J110" i="1"/>
  <c r="I110" i="1"/>
  <c r="H110" i="1"/>
  <c r="G110" i="1"/>
  <c r="F110" i="1"/>
  <c r="E110" i="1"/>
  <c r="D110" i="1"/>
  <c r="K109" i="1"/>
  <c r="J109" i="1"/>
  <c r="I109" i="1"/>
  <c r="H109" i="1"/>
  <c r="G109" i="1"/>
  <c r="F109" i="1"/>
  <c r="E109" i="1"/>
  <c r="D109" i="1"/>
  <c r="K108" i="1"/>
  <c r="J108" i="1"/>
  <c r="I108" i="1"/>
  <c r="H108" i="1"/>
  <c r="G108" i="1"/>
  <c r="F108" i="1"/>
  <c r="E108" i="1"/>
  <c r="D108" i="1"/>
  <c r="K107" i="1"/>
  <c r="J107" i="1"/>
  <c r="I107" i="1"/>
  <c r="H107" i="1"/>
  <c r="G107" i="1"/>
  <c r="F107" i="1"/>
  <c r="E107" i="1"/>
  <c r="D107" i="1"/>
  <c r="K106" i="1"/>
  <c r="J106" i="1"/>
  <c r="I106" i="1"/>
  <c r="H106" i="1"/>
  <c r="G106" i="1"/>
  <c r="F106" i="1"/>
  <c r="E106" i="1"/>
  <c r="D106" i="1"/>
  <c r="K105" i="1"/>
  <c r="J105" i="1"/>
  <c r="I105" i="1"/>
  <c r="H105" i="1"/>
  <c r="G105" i="1"/>
  <c r="F105" i="1"/>
  <c r="E105" i="1"/>
  <c r="D105" i="1"/>
  <c r="K103" i="1"/>
  <c r="J103" i="1"/>
  <c r="I103" i="1"/>
  <c r="H103" i="1"/>
  <c r="G103" i="1"/>
  <c r="F103" i="1"/>
  <c r="E103" i="1"/>
  <c r="D103" i="1"/>
  <c r="B103" i="1"/>
  <c r="K102" i="1"/>
  <c r="J102" i="1"/>
  <c r="I102" i="1"/>
  <c r="H102" i="1"/>
  <c r="G102" i="1"/>
  <c r="F102" i="1"/>
  <c r="E102" i="1"/>
  <c r="D102" i="1"/>
  <c r="B102" i="1"/>
  <c r="K101" i="1"/>
  <c r="J101" i="1"/>
  <c r="I101" i="1"/>
  <c r="H101" i="1"/>
  <c r="G101" i="1"/>
  <c r="F101" i="1"/>
  <c r="E101" i="1"/>
  <c r="D101" i="1"/>
  <c r="B101" i="1"/>
  <c r="K100" i="1"/>
  <c r="J100" i="1"/>
  <c r="I100" i="1"/>
  <c r="H100" i="1"/>
  <c r="G100" i="1"/>
  <c r="F100" i="1"/>
  <c r="E100" i="1"/>
  <c r="D100" i="1"/>
  <c r="B100" i="1"/>
  <c r="B99" i="1"/>
  <c r="K98" i="1"/>
  <c r="J98" i="1"/>
  <c r="I98" i="1"/>
  <c r="H98" i="1"/>
  <c r="G98" i="1"/>
  <c r="F98" i="1"/>
  <c r="E98" i="1"/>
  <c r="D98" i="1"/>
  <c r="B98" i="1"/>
  <c r="K97" i="1"/>
  <c r="J97" i="1"/>
  <c r="I97" i="1"/>
  <c r="H97" i="1"/>
  <c r="G97" i="1"/>
  <c r="F97" i="1"/>
  <c r="E97" i="1"/>
  <c r="D97" i="1"/>
  <c r="B97" i="1"/>
  <c r="K96" i="1"/>
  <c r="J96" i="1"/>
  <c r="I96" i="1"/>
  <c r="H96" i="1"/>
  <c r="G96" i="1"/>
  <c r="F96" i="1"/>
  <c r="E96" i="1"/>
  <c r="D96" i="1"/>
  <c r="B96" i="1"/>
  <c r="K95" i="1"/>
  <c r="J95" i="1"/>
  <c r="I95" i="1"/>
  <c r="H95" i="1"/>
  <c r="G95" i="1"/>
  <c r="F95" i="1"/>
  <c r="E95" i="1"/>
  <c r="D95" i="1"/>
  <c r="K94" i="1"/>
  <c r="J94" i="1"/>
  <c r="I94" i="1"/>
  <c r="H94" i="1"/>
  <c r="G94" i="1"/>
  <c r="F94" i="1"/>
  <c r="E94" i="1"/>
  <c r="D94" i="1"/>
  <c r="K93" i="1"/>
  <c r="J93" i="1"/>
  <c r="I93" i="1"/>
  <c r="H93" i="1"/>
  <c r="G93" i="1"/>
  <c r="F93" i="1"/>
  <c r="E93" i="1"/>
  <c r="D93" i="1"/>
  <c r="K92" i="1"/>
  <c r="J92" i="1"/>
  <c r="I92" i="1"/>
  <c r="H92" i="1"/>
  <c r="G92" i="1"/>
  <c r="F92" i="1"/>
  <c r="E92" i="1"/>
  <c r="D92" i="1"/>
  <c r="K91" i="1"/>
  <c r="J91" i="1"/>
  <c r="I91" i="1"/>
  <c r="H91" i="1"/>
  <c r="G91" i="1"/>
  <c r="F91" i="1"/>
  <c r="E91" i="1"/>
  <c r="D91" i="1"/>
  <c r="K90" i="1"/>
  <c r="J90" i="1"/>
  <c r="I90" i="1"/>
  <c r="H90" i="1"/>
  <c r="G90" i="1"/>
  <c r="F90" i="1"/>
  <c r="E90" i="1"/>
  <c r="D90" i="1"/>
  <c r="K89" i="1"/>
  <c r="J89" i="1"/>
  <c r="I89" i="1"/>
  <c r="H89" i="1"/>
  <c r="G89" i="1"/>
  <c r="F89" i="1"/>
  <c r="E89" i="1"/>
  <c r="D89" i="1"/>
  <c r="K88" i="1"/>
  <c r="J88" i="1"/>
  <c r="I88" i="1"/>
  <c r="H88" i="1"/>
  <c r="G88" i="1"/>
  <c r="F88" i="1"/>
  <c r="E88" i="1"/>
  <c r="D88" i="1"/>
  <c r="K87" i="1"/>
  <c r="J87" i="1"/>
  <c r="I87" i="1"/>
  <c r="H87" i="1"/>
  <c r="G87" i="1"/>
  <c r="F87" i="1"/>
  <c r="E87" i="1"/>
  <c r="D87" i="1"/>
  <c r="K86" i="1"/>
  <c r="J86" i="1"/>
  <c r="I86" i="1"/>
  <c r="H86" i="1"/>
  <c r="G86" i="1"/>
  <c r="F86" i="1"/>
  <c r="E86" i="1"/>
  <c r="D86" i="1"/>
  <c r="K85" i="1"/>
  <c r="J85" i="1"/>
  <c r="I85" i="1"/>
  <c r="H85" i="1"/>
  <c r="G85" i="1"/>
  <c r="F85" i="1"/>
  <c r="E85" i="1"/>
  <c r="D85" i="1"/>
  <c r="K84" i="1"/>
  <c r="J84" i="1"/>
  <c r="I84" i="1"/>
  <c r="H84" i="1"/>
  <c r="G84" i="1"/>
  <c r="F84" i="1"/>
  <c r="E84" i="1"/>
  <c r="D84" i="1"/>
  <c r="K83" i="1"/>
  <c r="J83" i="1"/>
  <c r="I83" i="1"/>
  <c r="H83" i="1"/>
  <c r="G83" i="1"/>
  <c r="F83" i="1"/>
  <c r="E83" i="1"/>
  <c r="D83" i="1"/>
  <c r="K82" i="1"/>
  <c r="J82" i="1"/>
  <c r="I82" i="1"/>
  <c r="H82" i="1"/>
  <c r="G82" i="1"/>
  <c r="F82" i="1"/>
  <c r="E82" i="1"/>
  <c r="D82" i="1"/>
  <c r="K81" i="1"/>
  <c r="J81" i="1"/>
  <c r="I81" i="1"/>
  <c r="H81" i="1"/>
  <c r="G81" i="1"/>
  <c r="F81" i="1"/>
  <c r="E81" i="1"/>
  <c r="D81" i="1"/>
  <c r="B80" i="1"/>
  <c r="K79" i="1"/>
  <c r="J79" i="1"/>
  <c r="I79" i="1"/>
  <c r="H79" i="1"/>
  <c r="G79" i="1"/>
  <c r="F79" i="1"/>
  <c r="E79" i="1"/>
  <c r="D79" i="1"/>
  <c r="B79" i="1"/>
  <c r="K78" i="1"/>
  <c r="J78" i="1"/>
  <c r="I78" i="1"/>
  <c r="H78" i="1"/>
  <c r="G78" i="1"/>
  <c r="F78" i="1"/>
  <c r="E78" i="1"/>
  <c r="D78" i="1"/>
  <c r="B78" i="1"/>
  <c r="K77" i="1"/>
  <c r="J77" i="1"/>
  <c r="I77" i="1"/>
  <c r="H77" i="1"/>
  <c r="G77" i="1"/>
  <c r="F77" i="1"/>
  <c r="E77" i="1"/>
  <c r="D77" i="1"/>
  <c r="B77" i="1"/>
  <c r="K76" i="1"/>
  <c r="J76" i="1"/>
  <c r="I76" i="1"/>
  <c r="I75" i="1" s="1"/>
  <c r="H76" i="1"/>
  <c r="G76" i="1"/>
  <c r="F76" i="1"/>
  <c r="E76" i="1"/>
  <c r="D76" i="1"/>
  <c r="B76" i="1"/>
  <c r="B75" i="1"/>
  <c r="K74" i="1"/>
  <c r="J74" i="1"/>
  <c r="I74" i="1"/>
  <c r="H74" i="1"/>
  <c r="G74" i="1"/>
  <c r="F74" i="1"/>
  <c r="E74" i="1"/>
  <c r="D74" i="1"/>
  <c r="B74" i="1"/>
  <c r="K73" i="1"/>
  <c r="J73" i="1"/>
  <c r="I73" i="1"/>
  <c r="H73" i="1"/>
  <c r="G73" i="1"/>
  <c r="F73" i="1"/>
  <c r="E73" i="1"/>
  <c r="D73" i="1"/>
  <c r="B73" i="1"/>
  <c r="K72" i="1"/>
  <c r="J72" i="1"/>
  <c r="I72" i="1"/>
  <c r="H72" i="1"/>
  <c r="G72" i="1"/>
  <c r="F72" i="1"/>
  <c r="E72" i="1"/>
  <c r="D72" i="1"/>
  <c r="B72" i="1"/>
  <c r="K71" i="1"/>
  <c r="J71" i="1"/>
  <c r="I71" i="1"/>
  <c r="H71" i="1"/>
  <c r="G71" i="1"/>
  <c r="F71" i="1"/>
  <c r="E71" i="1"/>
  <c r="D71" i="1"/>
  <c r="B71" i="1"/>
  <c r="K70" i="1"/>
  <c r="J70" i="1"/>
  <c r="I70" i="1"/>
  <c r="H70" i="1"/>
  <c r="G70" i="1"/>
  <c r="F70" i="1"/>
  <c r="E70" i="1"/>
  <c r="D70" i="1"/>
  <c r="B70" i="1"/>
  <c r="K69" i="1"/>
  <c r="J69" i="1"/>
  <c r="I69" i="1"/>
  <c r="H69" i="1"/>
  <c r="H66" i="1" s="1"/>
  <c r="G69" i="1"/>
  <c r="F69" i="1"/>
  <c r="E69" i="1"/>
  <c r="D69" i="1"/>
  <c r="D66" i="1" s="1"/>
  <c r="B69" i="1"/>
  <c r="K68" i="1"/>
  <c r="J68" i="1"/>
  <c r="I68" i="1"/>
  <c r="H68" i="1"/>
  <c r="G68" i="1"/>
  <c r="F68" i="1"/>
  <c r="E68" i="1"/>
  <c r="D68" i="1"/>
  <c r="B68" i="1"/>
  <c r="K67" i="1"/>
  <c r="J67" i="1"/>
  <c r="I67" i="1"/>
  <c r="H67" i="1"/>
  <c r="G67" i="1"/>
  <c r="F67" i="1"/>
  <c r="F66" i="1" s="1"/>
  <c r="E67" i="1"/>
  <c r="D67" i="1"/>
  <c r="B67" i="1"/>
  <c r="J66" i="1"/>
  <c r="B66" i="1"/>
  <c r="K65" i="1"/>
  <c r="J65" i="1"/>
  <c r="I65" i="1"/>
  <c r="H65" i="1"/>
  <c r="G65" i="1"/>
  <c r="F65" i="1"/>
  <c r="E65" i="1"/>
  <c r="D65" i="1"/>
  <c r="K64" i="1"/>
  <c r="J64" i="1"/>
  <c r="I64" i="1"/>
  <c r="H64" i="1"/>
  <c r="G64" i="1"/>
  <c r="F64" i="1"/>
  <c r="E64" i="1"/>
  <c r="D64" i="1"/>
  <c r="K63" i="1"/>
  <c r="J63" i="1"/>
  <c r="I63" i="1"/>
  <c r="H63" i="1"/>
  <c r="G63" i="1"/>
  <c r="F63" i="1"/>
  <c r="E63" i="1"/>
  <c r="D63" i="1"/>
  <c r="K62" i="1"/>
  <c r="J62" i="1"/>
  <c r="I62" i="1"/>
  <c r="H62" i="1"/>
  <c r="G62" i="1"/>
  <c r="F62" i="1"/>
  <c r="E62" i="1"/>
  <c r="D62" i="1"/>
  <c r="K61" i="1"/>
  <c r="J61" i="1"/>
  <c r="I61" i="1"/>
  <c r="H61" i="1"/>
  <c r="G61" i="1"/>
  <c r="F61" i="1"/>
  <c r="E61" i="1"/>
  <c r="D61" i="1"/>
  <c r="K60" i="1"/>
  <c r="J60" i="1"/>
  <c r="I60" i="1"/>
  <c r="H60" i="1"/>
  <c r="G60" i="1"/>
  <c r="F60" i="1"/>
  <c r="E60" i="1"/>
  <c r="D60" i="1"/>
  <c r="K59" i="1"/>
  <c r="J59" i="1"/>
  <c r="I59" i="1"/>
  <c r="H59" i="1"/>
  <c r="G59" i="1"/>
  <c r="F59" i="1"/>
  <c r="E59" i="1"/>
  <c r="D59" i="1"/>
  <c r="K58" i="1"/>
  <c r="J58" i="1"/>
  <c r="I58" i="1"/>
  <c r="H58" i="1"/>
  <c r="G58" i="1"/>
  <c r="F58" i="1"/>
  <c r="E58" i="1"/>
  <c r="D58" i="1"/>
  <c r="K57" i="1"/>
  <c r="J57" i="1"/>
  <c r="I57" i="1"/>
  <c r="H57" i="1"/>
  <c r="G57" i="1"/>
  <c r="F57" i="1"/>
  <c r="E57" i="1"/>
  <c r="D57" i="1"/>
  <c r="B57" i="1"/>
  <c r="K56" i="1"/>
  <c r="J56" i="1"/>
  <c r="I56" i="1"/>
  <c r="H56" i="1"/>
  <c r="G56" i="1"/>
  <c r="F56" i="1"/>
  <c r="E56" i="1"/>
  <c r="D56" i="1"/>
  <c r="B56" i="1"/>
  <c r="K55" i="1"/>
  <c r="J55" i="1"/>
  <c r="I55" i="1"/>
  <c r="H55" i="1"/>
  <c r="G55" i="1"/>
  <c r="F55" i="1"/>
  <c r="E55" i="1"/>
  <c r="D55" i="1"/>
  <c r="B55" i="1"/>
  <c r="K54" i="1"/>
  <c r="J54" i="1"/>
  <c r="I54" i="1"/>
  <c r="H54" i="1"/>
  <c r="H53" i="1" s="1"/>
  <c r="G54" i="1"/>
  <c r="F54" i="1"/>
  <c r="E54" i="1"/>
  <c r="E53" i="1" s="1"/>
  <c r="D54" i="1"/>
  <c r="D53" i="1" s="1"/>
  <c r="B54" i="1"/>
  <c r="B53" i="1"/>
  <c r="K52" i="1"/>
  <c r="J52" i="1"/>
  <c r="I52" i="1"/>
  <c r="H52" i="1"/>
  <c r="G52" i="1"/>
  <c r="F52" i="1"/>
  <c r="E52" i="1"/>
  <c r="D52" i="1"/>
  <c r="B52" i="1"/>
  <c r="K51" i="1"/>
  <c r="J51" i="1"/>
  <c r="I51" i="1"/>
  <c r="H51" i="1"/>
  <c r="G51" i="1"/>
  <c r="F51" i="1"/>
  <c r="E51" i="1"/>
  <c r="D51" i="1"/>
  <c r="B51" i="1"/>
  <c r="K50" i="1"/>
  <c r="J50" i="1"/>
  <c r="I50" i="1"/>
  <c r="H50" i="1"/>
  <c r="G50" i="1"/>
  <c r="F50" i="1"/>
  <c r="E50" i="1"/>
  <c r="D50" i="1"/>
  <c r="B50" i="1"/>
  <c r="K49" i="1"/>
  <c r="J49" i="1"/>
  <c r="I49" i="1"/>
  <c r="H49" i="1"/>
  <c r="G49" i="1"/>
  <c r="F49" i="1"/>
  <c r="E49" i="1"/>
  <c r="D49" i="1"/>
  <c r="B49" i="1"/>
  <c r="K48" i="1"/>
  <c r="J48" i="1"/>
  <c r="I48" i="1"/>
  <c r="H48" i="1"/>
  <c r="G48" i="1"/>
  <c r="F48" i="1"/>
  <c r="E48" i="1"/>
  <c r="D48" i="1"/>
  <c r="B48" i="1"/>
  <c r="K47" i="1"/>
  <c r="J47" i="1"/>
  <c r="I47" i="1"/>
  <c r="H47" i="1"/>
  <c r="G47" i="1"/>
  <c r="F47" i="1"/>
  <c r="E47" i="1"/>
  <c r="D47" i="1"/>
  <c r="B47" i="1"/>
  <c r="K46" i="1"/>
  <c r="J46" i="1"/>
  <c r="I46" i="1"/>
  <c r="H46" i="1"/>
  <c r="G46" i="1"/>
  <c r="F46" i="1"/>
  <c r="E46" i="1"/>
  <c r="D46" i="1"/>
  <c r="B46" i="1"/>
  <c r="K45" i="1"/>
  <c r="J45" i="1"/>
  <c r="I45" i="1"/>
  <c r="H45" i="1"/>
  <c r="G45" i="1"/>
  <c r="F45" i="1"/>
  <c r="E45" i="1"/>
  <c r="D45" i="1"/>
  <c r="B45" i="1"/>
  <c r="F44" i="1"/>
  <c r="B44" i="1"/>
  <c r="K43" i="1"/>
  <c r="J43" i="1"/>
  <c r="I43" i="1"/>
  <c r="H43" i="1"/>
  <c r="G43" i="1"/>
  <c r="F43" i="1"/>
  <c r="E43" i="1"/>
  <c r="D43" i="1"/>
  <c r="K42" i="1"/>
  <c r="J42" i="1"/>
  <c r="I42" i="1"/>
  <c r="H42" i="1"/>
  <c r="G42" i="1"/>
  <c r="F42" i="1"/>
  <c r="E42" i="1"/>
  <c r="D42" i="1"/>
  <c r="K41" i="1"/>
  <c r="J41" i="1"/>
  <c r="I41" i="1"/>
  <c r="H41" i="1"/>
  <c r="G41" i="1"/>
  <c r="F41" i="1"/>
  <c r="E41" i="1"/>
  <c r="D41" i="1"/>
  <c r="K40" i="1"/>
  <c r="J40" i="1"/>
  <c r="I40" i="1"/>
  <c r="H40" i="1"/>
  <c r="G40" i="1"/>
  <c r="F40" i="1"/>
  <c r="E40" i="1"/>
  <c r="D40" i="1"/>
  <c r="K39" i="1"/>
  <c r="J39" i="1"/>
  <c r="I39" i="1"/>
  <c r="H39" i="1"/>
  <c r="G39" i="1"/>
  <c r="F39" i="1"/>
  <c r="E39" i="1"/>
  <c r="D39" i="1"/>
  <c r="K38" i="1"/>
  <c r="J38" i="1"/>
  <c r="I38" i="1"/>
  <c r="H38" i="1"/>
  <c r="G38" i="1"/>
  <c r="F38" i="1"/>
  <c r="E38" i="1"/>
  <c r="D38" i="1"/>
  <c r="K37" i="1"/>
  <c r="J37" i="1"/>
  <c r="I37" i="1"/>
  <c r="H37" i="1"/>
  <c r="G37" i="1"/>
  <c r="F37" i="1"/>
  <c r="E37" i="1"/>
  <c r="D37" i="1"/>
  <c r="K36" i="1"/>
  <c r="J36" i="1"/>
  <c r="I36" i="1"/>
  <c r="H36" i="1"/>
  <c r="G36" i="1"/>
  <c r="F36" i="1"/>
  <c r="E36" i="1"/>
  <c r="D36" i="1"/>
  <c r="K35" i="1"/>
  <c r="J35" i="1"/>
  <c r="I35" i="1"/>
  <c r="H35" i="1"/>
  <c r="G35" i="1"/>
  <c r="F35" i="1"/>
  <c r="E35" i="1"/>
  <c r="D35" i="1"/>
  <c r="K34" i="1"/>
  <c r="J34" i="1"/>
  <c r="I34" i="1"/>
  <c r="H34" i="1"/>
  <c r="G34" i="1"/>
  <c r="F34" i="1"/>
  <c r="E34" i="1"/>
  <c r="D34" i="1"/>
  <c r="K33" i="1"/>
  <c r="J33" i="1"/>
  <c r="I33" i="1"/>
  <c r="H33" i="1"/>
  <c r="G33" i="1"/>
  <c r="F33" i="1"/>
  <c r="E33" i="1"/>
  <c r="D33" i="1"/>
  <c r="K32" i="1"/>
  <c r="J32" i="1"/>
  <c r="J31" i="1" s="1"/>
  <c r="I32" i="1"/>
  <c r="I31" i="1" s="1"/>
  <c r="H32" i="1"/>
  <c r="G32" i="1"/>
  <c r="G31" i="1" s="1"/>
  <c r="F32" i="1"/>
  <c r="F31" i="1" s="1"/>
  <c r="E32" i="1"/>
  <c r="E31" i="1" s="1"/>
  <c r="D32" i="1"/>
  <c r="K31" i="1"/>
  <c r="H31" i="1"/>
  <c r="D31" i="1"/>
  <c r="B31" i="1"/>
  <c r="K21" i="1"/>
  <c r="J21" i="1"/>
  <c r="I21" i="1"/>
  <c r="H21" i="1"/>
  <c r="G21" i="1"/>
  <c r="F21" i="1"/>
  <c r="E21" i="1"/>
  <c r="D21" i="1"/>
  <c r="K20" i="1"/>
  <c r="J20" i="1"/>
  <c r="I20" i="1"/>
  <c r="H20" i="1"/>
  <c r="G20" i="1"/>
  <c r="F20" i="1"/>
  <c r="E20" i="1"/>
  <c r="D20" i="1"/>
  <c r="K19" i="1"/>
  <c r="J19" i="1"/>
  <c r="I19" i="1"/>
  <c r="H19" i="1"/>
  <c r="G19" i="1"/>
  <c r="F19" i="1"/>
  <c r="E19" i="1"/>
  <c r="D19" i="1"/>
  <c r="K18" i="1"/>
  <c r="J18" i="1"/>
  <c r="I18" i="1"/>
  <c r="H18" i="1"/>
  <c r="G18" i="1"/>
  <c r="F18" i="1"/>
  <c r="E18" i="1"/>
  <c r="D18" i="1"/>
  <c r="K17" i="1"/>
  <c r="J17" i="1"/>
  <c r="I17" i="1"/>
  <c r="H17" i="1"/>
  <c r="G17" i="1"/>
  <c r="F17" i="1"/>
  <c r="E17" i="1"/>
  <c r="D17" i="1"/>
  <c r="K16" i="1"/>
  <c r="K27" i="1" s="1"/>
  <c r="J16" i="1"/>
  <c r="J27" i="1" s="1"/>
  <c r="I16" i="1"/>
  <c r="I27" i="1" s="1"/>
  <c r="H16" i="1"/>
  <c r="H27" i="1" s="1"/>
  <c r="G16" i="1"/>
  <c r="G27" i="1" s="1"/>
  <c r="F16" i="1"/>
  <c r="F27" i="1" s="1"/>
  <c r="E16" i="1"/>
  <c r="E27" i="1" s="1"/>
  <c r="D16" i="1"/>
  <c r="D27" i="1" s="1"/>
  <c r="K15" i="1"/>
  <c r="J15" i="1"/>
  <c r="I15" i="1"/>
  <c r="H15" i="1"/>
  <c r="G15" i="1"/>
  <c r="F15" i="1"/>
  <c r="E15" i="1"/>
  <c r="D15" i="1"/>
  <c r="B15" i="1"/>
  <c r="K10" i="1"/>
  <c r="J10" i="1"/>
  <c r="I10" i="1"/>
  <c r="H10" i="1"/>
  <c r="G10" i="1"/>
  <c r="F10" i="1"/>
  <c r="E10" i="1"/>
  <c r="D10" i="1"/>
  <c r="B10" i="1"/>
  <c r="K9" i="1"/>
  <c r="J9" i="1"/>
  <c r="I9" i="1"/>
  <c r="H9" i="1"/>
  <c r="G9" i="1"/>
  <c r="F9" i="1"/>
  <c r="E9" i="1"/>
  <c r="D9" i="1"/>
  <c r="B9" i="1"/>
  <c r="K8" i="1"/>
  <c r="K13" i="1" s="1"/>
  <c r="J8" i="1"/>
  <c r="I8" i="1"/>
  <c r="H8" i="1"/>
  <c r="H12" i="1" s="1"/>
  <c r="G8" i="1"/>
  <c r="G13" i="1" s="1"/>
  <c r="F8" i="1"/>
  <c r="E8" i="1"/>
  <c r="D8" i="1"/>
  <c r="D12" i="1" s="1"/>
  <c r="B8" i="1"/>
  <c r="K7" i="1"/>
  <c r="J7" i="1"/>
  <c r="I7" i="1"/>
  <c r="H7" i="1"/>
  <c r="G7" i="1"/>
  <c r="F7" i="1"/>
  <c r="E7" i="1"/>
  <c r="D7" i="1"/>
  <c r="B7" i="1"/>
  <c r="B6" i="1"/>
  <c r="D234" i="1" l="1"/>
  <c r="E75" i="1"/>
  <c r="G75" i="1"/>
  <c r="D44" i="1"/>
  <c r="H44" i="1"/>
  <c r="J44" i="1"/>
  <c r="H234" i="1"/>
  <c r="K75" i="1"/>
  <c r="F12" i="1"/>
  <c r="J12" i="1"/>
  <c r="D14" i="1"/>
  <c r="H14" i="1"/>
  <c r="G53" i="1"/>
  <c r="K53" i="1"/>
  <c r="I53" i="1"/>
  <c r="G30" i="1"/>
  <c r="F13" i="1"/>
  <c r="J13" i="1"/>
  <c r="E14" i="1"/>
  <c r="I14" i="1"/>
  <c r="D30" i="1"/>
  <c r="H30" i="1"/>
  <c r="D26" i="1"/>
  <c r="H26" i="1"/>
  <c r="E44" i="1"/>
  <c r="I44" i="1"/>
  <c r="G66" i="1"/>
  <c r="K66" i="1"/>
  <c r="F75" i="1"/>
  <c r="J75" i="1"/>
  <c r="E104" i="1"/>
  <c r="I104" i="1"/>
  <c r="D104" i="1"/>
  <c r="H104" i="1"/>
  <c r="K30" i="1"/>
  <c r="G26" i="1"/>
  <c r="F14" i="1"/>
  <c r="J14" i="1"/>
  <c r="E30" i="1"/>
  <c r="I30" i="1"/>
  <c r="E26" i="1"/>
  <c r="I26" i="1"/>
  <c r="K26" i="1"/>
  <c r="E13" i="1"/>
  <c r="I13" i="1"/>
  <c r="D13" i="1"/>
  <c r="H13" i="1"/>
  <c r="G14" i="1"/>
  <c r="K14" i="1"/>
  <c r="F30" i="1"/>
  <c r="J30" i="1"/>
  <c r="F26" i="1"/>
  <c r="J26" i="1"/>
  <c r="G44" i="1"/>
  <c r="K44" i="1"/>
  <c r="F53" i="1"/>
  <c r="J53" i="1"/>
  <c r="E66" i="1"/>
  <c r="I66" i="1"/>
  <c r="D75" i="1"/>
  <c r="H75" i="1"/>
  <c r="G104" i="1"/>
  <c r="K104" i="1"/>
  <c r="F104" i="1"/>
  <c r="J104" i="1"/>
  <c r="D11" i="1"/>
  <c r="H11" i="1"/>
  <c r="G22" i="1"/>
  <c r="K22" i="1"/>
  <c r="G23" i="1"/>
  <c r="K23" i="1"/>
  <c r="G24" i="1"/>
  <c r="K24" i="1"/>
  <c r="G25" i="1"/>
  <c r="K25" i="1"/>
  <c r="G28" i="1"/>
  <c r="K28" i="1"/>
  <c r="G29" i="1"/>
  <c r="K29" i="1"/>
  <c r="E11" i="1"/>
  <c r="I11" i="1"/>
  <c r="E12" i="1"/>
  <c r="I12" i="1"/>
  <c r="D22" i="1"/>
  <c r="H22" i="1"/>
  <c r="D23" i="1"/>
  <c r="H23" i="1"/>
  <c r="D24" i="1"/>
  <c r="H24" i="1"/>
  <c r="D25" i="1"/>
  <c r="H25" i="1"/>
  <c r="D28" i="1"/>
  <c r="H28" i="1"/>
  <c r="D29" i="1"/>
  <c r="H29" i="1"/>
  <c r="F11" i="1"/>
  <c r="J11" i="1"/>
  <c r="E22" i="1"/>
  <c r="I22" i="1"/>
  <c r="E23" i="1"/>
  <c r="I23" i="1"/>
  <c r="E24" i="1"/>
  <c r="I24" i="1"/>
  <c r="E25" i="1"/>
  <c r="I25" i="1"/>
  <c r="E28" i="1"/>
  <c r="I28" i="1"/>
  <c r="E29" i="1"/>
  <c r="I29" i="1"/>
  <c r="G11" i="1"/>
  <c r="K11" i="1"/>
  <c r="G12" i="1"/>
  <c r="K12" i="1"/>
  <c r="F22" i="1"/>
  <c r="J22" i="1"/>
  <c r="F23" i="1"/>
  <c r="J23" i="1"/>
  <c r="F24" i="1"/>
  <c r="J24" i="1"/>
  <c r="F25" i="1"/>
  <c r="J25" i="1"/>
  <c r="F28" i="1"/>
  <c r="J28" i="1"/>
  <c r="F29" i="1"/>
  <c r="J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123" authorId="0" shapeId="0" xr:uid="{613E0F3C-0CAE-48FD-9BBC-50E4DC26FD4B}">
      <text>
        <r>
          <rPr>
            <sz val="10"/>
            <color rgb="FF000000"/>
            <rFont val="Calibri"/>
            <family val="2"/>
            <scheme val="minor"/>
          </rPr>
          <t xml:space="preserve">ចំពោះករណីនេះ វាពិបាកនឹងរកភាគរយតាមជួរឈរ ពីព្រោះសូចនាករនីមួយៗមានឯកតាវាស់វែងខុសៗគ្នា ហើយក៏ពុំមានន័យប៉ុន្មានក្នុងការបូកសរុបឯកតាផ្សេងគ្នាដែរ។ ឧទាហរណ៍ យើងមិនអាចបូកចំនួនគ្រួសារជាមួយទិន្នផលស្រូវ ឬតម្លៃលក់ស្រូវបានឡើយ។ ម្យ៉ាងវិញទៀត សមាសភាគរបស់សូចនាករទាំងនេះក៏មិនអាចប្រៀបធៀបគ្នាដោយផ្ទាល់បានដែរ។
</t>
        </r>
        <r>
          <rPr>
            <sz val="10"/>
            <color rgb="FF000000"/>
            <rFont val="Calibri"/>
            <family val="2"/>
            <scheme val="minor"/>
          </rPr>
          <t xml:space="preserve">ដូច្នេះ វាសមស្របជាងក្នុងការរកភាគរយតាមជួរដេក មានន័យថា គណនាភាគរយរបស់តម្លៃនៅក្នុងស្រុកនីមួយៗធៀបនឹងតម្លៃសរុបក្នុងខេត្តសម្រាប់សូចនាករនីមួយៗ។ នេះនឹងអនុញ្ញាតឱ្យយើងប្រៀបធៀបចំណែករបស់ស្រុកនីមួយៗចំពោះតម្លៃសរុបក្នុងខេត្តសម្រាប់សូចនាករនីមួយៗដោយឡែកពីគ្នា។ ឧទាហរណ៍៖
</t>
        </r>
        <r>
          <rPr>
            <sz val="10"/>
            <color rgb="FF000000"/>
            <rFont val="Calibri"/>
            <family val="2"/>
            <scheme val="minor"/>
          </rPr>
          <t xml:space="preserve">ភាគរយចំនួនគ្រួសារក្នុងក្រុមស្ថានភាពកាន់កាប់ដីកសិកម្មស្រែនិងចំការ សម្រាប់ស្រុកឆ្លូងធៀបនឹងសរុបក្នុងខេត្ត = 6,186 / 38,714 * 100 = 16.0%
</t>
        </r>
        <r>
          <rPr>
            <sz val="10"/>
            <color rgb="FF000000"/>
            <rFont val="Calibri"/>
            <family val="2"/>
            <scheme val="minor"/>
          </rPr>
          <t xml:space="preserve">ភាគរយចំនួនគ្រួសារក្នុងក្រុមមានធនធានទឹក និងប្រព័ន្ធធារាសាស្ត្រ សម្រាប់ស្រុកឆ្លូងធៀបនឹងសរុបក្នុងខេត្ត = 3,204 / 8,655 * 100 = 37.0%
</t>
        </r>
        <r>
          <rPr>
            <sz val="10"/>
            <color rgb="FF000000"/>
            <rFont val="Calibri"/>
            <family val="2"/>
            <scheme val="minor"/>
          </rPr>
          <t xml:space="preserve">ភាគរយទិន្នផលស្រូវសម្រាប់ស្រុកឆ្លូងធៀបនឹងសរុបក្នុងខេត្ត = 7 / 35 * 100 = 20.0%
</t>
        </r>
        <r>
          <rPr>
            <sz val="10"/>
            <color rgb="FF000000"/>
            <rFont val="Calibri"/>
            <family val="2"/>
            <scheme val="minor"/>
          </rPr>
          <t xml:space="preserve">រហូតដល់សូចនាករចុងក្រោយ។
</t>
        </r>
        <r>
          <rPr>
            <sz val="10"/>
            <color rgb="FF000000"/>
            <rFont val="Calibri"/>
            <family val="2"/>
            <scheme val="minor"/>
          </rPr>
          <t>វិធីនេះនឹងអនុញ្ញាតឱ្យយើងវាយតម្លៃលើការរួមចំណែករបស់ស្រុកនីមួយៗសម្រាប់សូចនាករនីមួយៗ ប៉ុន្តែវាមិនសមស្របក្នុងការប្រៀបធៀបសូចនាករនីមួយៗក្នុងចំណោមស្រុកនីមួយៗនោះទេ។ ដូច្នេះ វិធីសាស្ត្រគណនាភាគរយតាមជួរដេក ហាក់ដូចជាសមស្របបំផុតសម្រាប់ទិន្នន័យនេះ។</t>
        </r>
      </text>
    </comment>
    <comment ref="B130" authorId="0" shapeId="0" xr:uid="{63370AFF-63ED-4538-8D2D-9AD3F5A2C4E7}">
      <text>
        <r>
          <rPr>
            <sz val="10"/>
            <color rgb="FF000000"/>
            <rFont val="Calibri"/>
            <family val="2"/>
          </rPr>
          <t>ចំពោះករណីនេះ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ប្រសើរជាងគេគឺគួររកភាគរយតាមជួរឈរ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មានន័យថា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គណនាភាគរយរបស់ប្រភេទគ្រឿងយន្តនីមួយៗធៀបនឹងចំនួនសរុបនៃប្រភេទគ្រឿងយន្តទាំងអស់ក្នុងស្រុកនីមួយៗ។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មូលហេតុមានដូចខាងក្រោម៖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ការរកភាគរយតាមជួរឈរ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អនុញ្ញាតឱ្យយើងអាចប្រៀបធៀបចំណែកគ្រឿងយន្តនីមួយៗក្នុងចំណោមគ្រឿងយន្តសរុបរបស់ស្រុកនីមួយៗ។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ឧទាហរណ៍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យើងអាចឃើញថាភាគរយនៃគ្រឿងយន្តភ្ជួររាស់ក្នុងស្រុកឆ្លូងធៀបនឹងចំនួនគ្រឿងយន្តសរុបក្នុងស្រុកនោះ។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នេះអាចឱ្យដឹងអំពីសមាសភាគនៃគ្រឿងយន្តកសិកម្មក្នុងស្រុកនីមួយៗ។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ការរកភាគរយតាមជួរឈរ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ក៏ជួយឱ្យយើងអាចប្រៀបធៀបលក្ខណៈនៃការប្រើប្រាស់គ្រឿងយន្តនៅតាមតំបន់ផ្សេងៗបាន។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ឧទាហរណ៍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យើងអាចឃើញថាស្រុកមួយមានភាគរយខ្ពស់នៃគ្រឿងយន្តប្រមូលផលធៀបនឹងស្រុកផ្សេងទៀត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ដែលនេះអាចឆ្លុះបញ្ចាំងពីលក្ខណៈនៃកសិកម្មក្នុងស្រុកនោះ។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ការបូកសរុបភាគរយតាមជួរឈរ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សម្រាប់ស្រុកនីមួយៗ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លទ្ធផលគឺ</t>
        </r>
        <r>
          <rPr>
            <sz val="10"/>
            <color rgb="FF000000"/>
            <rFont val="Calibri"/>
            <family val="2"/>
          </rPr>
          <t xml:space="preserve"> 100% </t>
        </r>
        <r>
          <rPr>
            <sz val="10"/>
            <color rgb="FF000000"/>
            <rFont val="Calibri"/>
            <family val="2"/>
          </rPr>
          <t>ដែលមានន័យថា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គ្រឿងយន្តទាំងអស់ត្រូវបានរាប់បញ្ចូលហើយ។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នេះជួយឱ្យងាយស្រួលក្នុងការធ្វើការវិភាគ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និងបកស្រាយ។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ទោះយ៉ាងណាក៏ដោយ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ប្រសិនបើគោលបំណងគឺចង់ប្រៀបធៀបចំណែកគ្រឿងយន្តប្រភេទណាមួយរបស់ស្រុកនីមួយៗធៀបនឹងចំនួនសរុបនៃគ្រឿងយន្តប្រភេទនោះនៅក្នុងខេត្ត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នោះការគណនាភាគរយតាមជួរដេកក៏អាចធ្វើបានដែរ។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នេះអាស្រ័យទៅលើប្រភេទនៃការវិភាគដែលត្រូវការ។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ជាសរុប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ការគណនាភាគរយតាមជួរឈរអាចផ្តល់ការយល់ដឹងកាន់តែទូលំទូលាយអំពីលក្ខណៈនៃគ្រឿងយន្តកសិកម្ម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និងភាពខុសគ្នារបស់វានៅក្នុងស្រុកនីមួយៗ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ដោយប្រៀបធៀបជាមួយនឹងចំនួនសរុបរបស់គ្រឿងយន្តក្នុងស្រុកនោះ។</t>
        </r>
      </text>
    </comment>
    <comment ref="B141" authorId="0" shapeId="0" xr:uid="{E7952500-5639-4AD9-8AE3-99B5901CF9EC}">
      <text>
        <r>
          <rPr>
            <sz val="10"/>
            <color rgb="FF000000"/>
            <rFont val="Calibri"/>
            <family val="2"/>
            <scheme val="minor"/>
          </rPr>
          <t xml:space="preserve">ចំពោះទិន្នន័យនេះ យើងអាចគណនាបានទាំងភាគរយតាមជួរដេក និងភាគរយតាមជួរឈរ ដោយសារតែសូចនាករទាំងអស់ត្រូវបានវាស់ជាចំនួន ហើយការបូកសរុបតាមជួរឈរក៏មានអត្ថន័យដែរ។ ទោះយ៉ាងណាក៏ដោយ វាអាស្រ័យលើគោលបំណងនៃការវិភាគ។
</t>
        </r>
        <r>
          <rPr>
            <sz val="10"/>
            <color rgb="FF000000"/>
            <rFont val="Calibri"/>
            <family val="2"/>
            <scheme val="minor"/>
          </rPr>
          <t xml:space="preserve">ការគណនាភាគរយតាមជួរដេក៖ នេះនឹងបង្ហាញពីចំណែករបស់ស្រុកនីមួយៗចំពោះចំនួនសរុបក្នុងខេត្តសម្រាប់សូចនាករនីមួយៗ។ ឧទាហរណ៍ ភាគរយនៃចំនួនរថយន្តអាជីវកម្ម និងគ្រឿងចក្ររបស់ស្រុកឆ្លូងធៀបនឹងសរុបក្នុងខេត្ត គឺ 430 / 3,155 * 100 = 13.6%។ នេះអាចប្រើសម្រាប់ប្រៀបធៀបការរួមចំណែករបស់ស្រុកនីមួយៗសម្រាប់សូចនាករនីមួយៗ។
</t>
        </r>
        <r>
          <rPr>
            <sz val="10"/>
            <color rgb="FF000000"/>
            <rFont val="Calibri"/>
            <family val="2"/>
            <scheme val="minor"/>
          </rPr>
          <t xml:space="preserve">ការគណនាភាគរយតាមជួរឈរ៖ នេះនឹងបង្ហាញពីសមាសភាគនៃសូចនាករនីមួយៗធៀបនឹងចំនួនសរុបក្នុងស្រុកនីមួយៗ។ ឧទាហរណ៍ ចំពោះស្រុកឆ្លូង៖
</t>
        </r>
        <r>
          <rPr>
            <sz val="10"/>
            <color rgb="FF000000"/>
            <rFont val="Calibri"/>
            <family val="2"/>
            <scheme val="minor"/>
          </rPr>
          <t xml:space="preserve">ចំនួនរថយន្តអាជីវកម្ម និងគ្រឿងចក្រ = 430 ចំនួនមធ្យោបាយធ្វើដំណើរគ្រួសារ = 18,921 សរុប = 430 + 18,921 = 19,351
</t>
        </r>
        <r>
          <rPr>
            <sz val="10"/>
            <color rgb="FF000000"/>
            <rFont val="Calibri"/>
            <family val="2"/>
            <scheme val="minor"/>
          </rPr>
          <t xml:space="preserve">ដូច្នេះ ភាគរយនៃរថយន្តអាជីវកម្ម និងគ្រឿងចក្រក្នុងស្រុកឆ្លូង គឺ 430 / 19,351 * 100 = 2.2%។ ភាគរយនៃមធ្យោបាយធ្វើដំណើរគ្រួសារក្នុងស្រុកឆ្លូង គឺ 18,921 / 19,351 * 100 = 97.8%។
</t>
        </r>
        <r>
          <rPr>
            <sz val="10"/>
            <color rgb="FF000000"/>
            <rFont val="Calibri"/>
            <family val="2"/>
            <scheme val="minor"/>
          </rPr>
          <t xml:space="preserve">ការគណនាបែបនេះអាចធ្វើបានសម្រាប់ស្រុកផ្សេងៗទៀត។ វាអនុញ្ញាតឱ្យយើងប្រៀបធៀបសមាសភាគនៃប្រភេទរថយន្តនៅក្នុងស្រុកនីមួយៗ។
</t>
        </r>
        <r>
          <rPr>
            <sz val="10"/>
            <color rgb="FF000000"/>
            <rFont val="Calibri"/>
            <family val="2"/>
            <scheme val="minor"/>
          </rPr>
          <t>ជាសរុប ទាំងភាគរយតាមជួរដេក និងភាគរយតាមជួរឈរសុទ្ធតែផ្តល់ព័ត៌មានមានប្រយោជន៍ ប៉ុន្តែសម្រាប់គោលបំណងខុសៗគ្នា។ ភាគរយតាមជួរដេកល្អសម្រាប់ប្រៀបធៀបចំណែករបស់ស្រុកនីមួយៗក្នុងចំណោមសូចនាករដូចគ្នា ខណៈភាគរយតាមជួរឈរល្អសម្រាប់ប្រៀបធៀបសមាសភាគនៃសូចនាករខុសៗគ្នានៅក្នុងស្រុកដូចគ្នា។ ការជ្រើសរើសរវាងវិធីសាស្ត្រទាំងពីរអាស្រ័យលើបំណងនៃការវិភាគ។</t>
        </r>
      </text>
    </comment>
    <comment ref="B146" authorId="0" shapeId="0" xr:uid="{FEEED89D-84D1-44A7-BEB9-1037746ACEC4}">
      <text>
        <r>
          <rPr>
            <sz val="10"/>
            <color rgb="FF000000"/>
            <rFont val="Calibri"/>
            <family val="2"/>
            <scheme val="minor"/>
          </rPr>
          <t xml:space="preserve">ចំពោះទិន្នន័យនេះ វាមិនសមស្របក្នុងការបូកសរុបសូចនាករខុសគ្នាតាមជួរឈរ ឬគណនាភាគរយតាមជួរឈរនោះទេ ដោយសារសូចនាករនីមួយៗតំណាងឱ្យប្រភេទទូក ឬកាណូតខុសៗគ្នា ហើយមិនអាចបូកបញ្ចូលគ្នាបានដោយផ្ទាល់។ ជាងនេះទៅទៀត ចំនួនគ្រួសារមានទូកអុំ/ទូកចែវ និងចំនួនគ្រួសារមានទូកម៉ាស៊ីន/កាណូត ក៏មិនអាចបូកសរុបគ្នាបានដែរ ពីព្រោះវាអាចនឹងមានការរាប់ស្ទួនគ្រួសារដែលមានទាំងពីរប្រភេទ។
</t>
        </r>
        <r>
          <rPr>
            <sz val="10"/>
            <color rgb="FF000000"/>
            <rFont val="Calibri"/>
            <family val="2"/>
            <scheme val="minor"/>
          </rPr>
          <t xml:space="preserve">ដូច្នេះ វាល្អបំផុតក្នុងការគណនាភាគរយតាមជួរដេក គឺប្រៀបធៀបចំណែករបស់ស្រុកនីមួយៗចំពោះខេត្តសរុបសម្រាប់សូចនាករនីមួយៗ។ ឧទាហរណ៍៖
</t>
        </r>
        <r>
          <rPr>
            <sz val="10"/>
            <color rgb="FF000000"/>
            <rFont val="Calibri"/>
            <family val="2"/>
            <scheme val="minor"/>
          </rPr>
          <t xml:space="preserve">ភាគរយទូកអុំ/ទូកចែវនៅស្រុកឆ្លូងធៀបនឹងសរុបក្នុងខេត្ត៖ 487 / 4,193 * 100 = 11.6%
</t>
        </r>
        <r>
          <rPr>
            <sz val="10"/>
            <color rgb="FF000000"/>
            <rFont val="Calibri"/>
            <family val="2"/>
            <scheme val="minor"/>
          </rPr>
          <t xml:space="preserve">ភាគរយទូកម៉ាស៊ីន និងកាណូតនៅស្រុកឆ្លូងធៀបនឹងសរុបក្នុងខេត្ត៖ 221 / 2,800 * 100 = 7.9%
</t>
        </r>
        <r>
          <rPr>
            <sz val="10"/>
            <color rgb="FF000000"/>
            <rFont val="Calibri"/>
            <family val="2"/>
            <scheme val="minor"/>
          </rPr>
          <t xml:space="preserve">ភាគរយគ្រួសារមានទូកអុំ/ទូកចែវនៅស្រុកឆ្លូងធៀបនឹងសរុបក្នុងខេត្ត៖ 478 / 3,959 * 100 = 12.1%
</t>
        </r>
        <r>
          <rPr>
            <sz val="10"/>
            <color rgb="FF000000"/>
            <rFont val="Calibri"/>
            <family val="2"/>
            <scheme val="minor"/>
          </rPr>
          <t xml:space="preserve">ភាគរយគ្រួសារមានទូកម៉ាស៊ីន/កាណូតនៅស្រុកឆ្លូងធៀបនឹងសរុបក្នុងខេត្ត៖ 219 / 2,537 * 100 = 8.6%
</t>
        </r>
        <r>
          <rPr>
            <sz val="10"/>
            <color rgb="FF000000"/>
            <rFont val="Calibri"/>
            <family val="2"/>
            <scheme val="minor"/>
          </rPr>
          <t xml:space="preserve">ការគណនាបែបនេះអាចត្រូវបានធ្វើឡើងសម្រាប់ស្រុកដទៃទៀតក្នុងខេត្ត។ ទោះយ៉ាងណាក៏ដោយ វាមិនសមស្របក្នុងការប្រៀបធៀបចំនួនទូកអុំ/ទូកចែវ ជាមួយចំនួនទូកម៉ាស៊ីន/កាណូតដោយផ្ទាល់នោះទេ ដោយសារវាជាប្រភេទផ្សេងគ្នា ហើយប្រើសម្រាប់គោលបំណងខុសគ្នា។ ដូចគ្នានេះដែរ ចំពោះចំនួនគ្រួសារដែលមាន។
</t>
        </r>
        <r>
          <rPr>
            <sz val="10"/>
            <color rgb="FF000000"/>
            <rFont val="Calibri"/>
            <family val="2"/>
            <scheme val="minor"/>
          </rPr>
          <t>ដូច្នេះ ការគណនាភាគរយតាមជួរដេកនឹងអាចឱ្យយើងប្រៀបធៀបចំណែករបស់ស្រុកនីមួយៗសម្រាប់ប្រភេទទូក ឬកាណូតជាក់លាក់មួយ ប៉ុន្តែមិនសមស្របសម្រាប់ប្រៀបធៀបប្រភេទខុសគ្នាឡើយ។</t>
        </r>
      </text>
    </comment>
    <comment ref="B154" authorId="0" shapeId="0" xr:uid="{56BE8DBC-2987-4736-9B3F-B1CB03BBF8C0}">
      <text>
        <r>
          <rPr>
            <sz val="10"/>
            <color rgb="FF000000"/>
            <rFont val="Calibri"/>
            <family val="2"/>
          </rPr>
          <t>ចំពោះទិន្នន័យនេះ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វាមិនសមស្របក្នុងការបូកសរុបសូចនាករខុសគ្នាតាមជួរឈរ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ឬគណនាភាគរយតាមជួរឈរឡើយ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ដោយសារសូចនាករនីមួយៗប្រើឯកតាវាស់វែងខុសគ្នា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ហើយតំណាងឱ្យប្រភេទព័ត៌មានខុសៗគ្នាដែលមិនអាចបូកបញ្ចូលគ្នាបានដោយផ្ទាល់។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ឧទាហរណ៍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យើងមិនអាចបូកចំនួនសត្វចិញ្ចឹម</t>
        </r>
        <r>
          <rPr>
            <sz val="10"/>
            <color rgb="FF000000"/>
            <rFont val="Calibri"/>
            <family val="2"/>
          </rPr>
          <t xml:space="preserve"> (</t>
        </r>
        <r>
          <rPr>
            <sz val="10"/>
            <color rgb="FF000000"/>
            <rFont val="Calibri"/>
            <family val="2"/>
          </rPr>
          <t>គោ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ក្របី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ជ្រូក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។ល។</t>
        </r>
        <r>
          <rPr>
            <sz val="10"/>
            <color rgb="FF000000"/>
            <rFont val="Calibri"/>
            <family val="2"/>
          </rPr>
          <t xml:space="preserve">) </t>
        </r>
        <r>
          <rPr>
            <sz val="10"/>
            <color rgb="FF000000"/>
            <rFont val="Calibri"/>
            <family val="2"/>
          </rPr>
          <t>ជាមួយចំនួនគ្រួសារចិញ្ចឹមសត្វ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ឬទិន្នផលវារីវប្បកម្ម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ដោយសារវាជាឯកតាវាស់វែងខុសគ្នា។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ដូច្នេះ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វិធីសាស្រ្តដែលសមស្របបំផុតគឺគណនាភាគរយតាមជួរដេក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ដែលនឹងឱ្យយើងដឹងពីចំណែករបស់ស្រុកនីមួយៗចំពោះខេត្តសរុបសម្រាប់សូចនាករនីមួយៗ។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ឧទាហរណ៍៖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ចំនួនសត្វចតុប្បាទធំៗនៅស្រុកឆ្លូងធៀបនឹងសរុបក្នុងខេត្ត៖</t>
        </r>
        <r>
          <rPr>
            <sz val="10"/>
            <color rgb="FF000000"/>
            <rFont val="Calibri"/>
            <family val="2"/>
          </rPr>
          <t xml:space="preserve"> 6,485 / 131,910 * 100 = 4.9%
</t>
        </r>
        <r>
          <rPr>
            <sz val="10"/>
            <color rgb="FF000000"/>
            <rFont val="Calibri"/>
            <family val="2"/>
          </rPr>
          <t>ចំនួនសត្វចិញ្ចឹមយកសាច់នៅស្រុកឆ្លូងធៀបនឹងសរុបក្នុងខេត្ត៖</t>
        </r>
        <r>
          <rPr>
            <sz val="10"/>
            <color rgb="FF000000"/>
            <rFont val="Calibri"/>
            <family val="2"/>
          </rPr>
          <t xml:space="preserve"> 55,810 / 675,828 * 100 = 8.3%
</t>
        </r>
        <r>
          <rPr>
            <sz val="10"/>
            <color rgb="FF000000"/>
            <rFont val="Calibri"/>
            <family val="2"/>
          </rPr>
          <t>ចំនួនគ្រួសារចិញ្ចឹមសត្វនៅស្រុកឆ្លូងធៀបនឹងសរុបក្នុងខេត្ត៖</t>
        </r>
        <r>
          <rPr>
            <sz val="10"/>
            <color rgb="FF000000"/>
            <rFont val="Calibri"/>
            <family val="2"/>
          </rPr>
          <t xml:space="preserve"> 10,173 / 105,939 * 100 = 9.6%
</t>
        </r>
        <r>
          <rPr>
            <sz val="10"/>
            <color rgb="FF000000"/>
            <rFont val="Calibri"/>
            <family val="2"/>
          </rPr>
          <t>ចំនួនគ្រួសារចិញ្ចឹមវារីសត្វនៅស្រុកឆ្លូងធៀបនឹងសរុបក្នុងខេត្ត៖</t>
        </r>
        <r>
          <rPr>
            <sz val="10"/>
            <color rgb="FF000000"/>
            <rFont val="Calibri"/>
            <family val="2"/>
          </rPr>
          <t xml:space="preserve"> 80 / 362 * 100 = 22.1%
</t>
        </r>
        <r>
          <rPr>
            <sz val="10"/>
            <color rgb="FF000000"/>
            <rFont val="Calibri"/>
            <family val="2"/>
          </rPr>
          <t>ទិន្នផលវារីវប្បកម្មនៅស្រុកឆ្លូងធៀបនឹងសរុបក្នុងខេត្ត៖</t>
        </r>
        <r>
          <rPr>
            <sz val="10"/>
            <color rgb="FF000000"/>
            <rFont val="Calibri"/>
            <family val="2"/>
          </rPr>
          <t xml:space="preserve"> 42,470 / 356,152 * 100 = 11.9%
</t>
        </r>
        <r>
          <rPr>
            <sz val="10"/>
            <color rgb="FF000000"/>
            <rFont val="Calibri"/>
            <family val="2"/>
          </rPr>
          <t>ការគណនានេះអាចត្រូវបានធ្វើឡើងសម្រាប់ស្រុកផ្សេងទៀតដែរ។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វានឹងអនុញ្ញាតឱ្យយើងប្រៀបធៀបចំណែកកម្មនៃស្រុកនីមួយៗចំពោះខេត្តសរុបសម្រាប់សូចនាករនីមួយៗ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ប៉ុន្តែមិនសមស្របសម្រាប់ប្រៀបធៀបសូចនាករខុសគ្នានៅក្នុងស្រុកដូចគ្នាទេ។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នេះគឺដោយសារទិន្នន័យមានឯកតាវាស់វែង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និងអត្ថន័យខុសគ្នា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ដែលធ្វើឱ្យវាមិនសមស្របក្នុងការបូកបញ្ចូលគ្នា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ឬគណនាភាគរយតាមជួរឈរនោះឡើយ។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ការគណនាភាគរយតាមជួរដេកនឹងផ្តល់នូវការយល់ដឹងច្បាស់លាស់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និងមានអត្ថន័យជាង។</t>
        </r>
      </text>
    </comment>
    <comment ref="B160" authorId="0" shapeId="0" xr:uid="{B0120DCD-740C-408C-AAB4-17FED811DB9D}">
      <text>
        <r>
          <rPr>
            <sz val="10"/>
            <color rgb="FF000000"/>
            <rFont val="Calibri"/>
            <family val="2"/>
            <scheme val="minor"/>
          </rPr>
          <t xml:space="preserve">ភាគរយតាមជួរឈរនេះអនុញ្ញាតឱ្យយើងប្រៀបធៀបសមាសភាគនៃសូចនាករខុសៗគ្នានៅក្នុងស្រុកដូចគ្នា និងវាយតម្លៃរចនាសម្ព័ន្ធនៃលំនៅស្ថាន និងជីវភាពរស់នៅក្នុងស្រុកនីមួយៗ។
</t>
        </r>
        <r>
          <rPr>
            <sz val="10"/>
            <color rgb="FF000000"/>
            <rFont val="Calibri"/>
            <family val="2"/>
            <scheme val="minor"/>
          </rPr>
          <t>ជាសរុប ទាំងភាគរយតាមជួរដេក និងភាគរយតាមជួរឈរសុទ្ធតែផ្តល់នូវព័ត៌មានមានប្រយោជន៍ ប៉ុន្តែសម្រាប់បំណងខុសគ្នា។ ភាគរយតាមជួរដេកល្អសម្រាប់ប្រៀបធៀបចំណែកនៃស្រុកនីមួយៗក្នុងចំណោមសូចនាករដូចគ្នា ខណៈភាគរយតាមជួរឈរល្អសម្រាប់ប្រៀបធៀបសមាសភាពនៃប្រភេទផ្ទះ និងស្ថានភាពជីវភាពនៅក្នុងស្រុកនីមួយៗ។ ការប្រើប្រាស់ភាគរយណាមួយអាស្រ័យលើការវិភាគជាក់លាក់។</t>
        </r>
      </text>
    </comment>
    <comment ref="B169" authorId="0" shapeId="0" xr:uid="{926DF4A8-466C-4278-BCC6-C6FF75B0358E}">
      <text>
        <r>
          <rPr>
            <sz val="10"/>
            <color rgb="FF000000"/>
            <rFont val="Calibri"/>
            <family val="2"/>
          </rPr>
          <t>ភាគរយតាមជួរឈរនេះអនុញ្ញាតឱ្យយើងប្រៀបធៀបសមាសភាគនៃប្រភេទផ្ទះផ្សេងៗដែលមានប្រើប្រាស់អគ្គិសនីក្នុងស្រុកនីមួយៗ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និងវាយតម្លៃថាតើប្រភេទផ្ទះណាមានអត្រាប្រើប្រាស់អគ្គិសនីច្រើនជាង។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ជាសរុប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ទាំងភាគរយតាមជួរដេក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និងភាគរយតាមជួរឈរសុទ្ធតែផ្តល់នូវចំណេះដឹងសំខាន់ៗ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ប៉ុន្តែសម្រាប់ការវិភាគខុសៗគ្នា។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ភាគរយតាមជួរដេកគឺសំខាន់សម្រាប់ប្រៀបធៀបចំណែកនៃស្រុកនីមួយៗក្នុងចំណោមសូចនាករដូចគ្នា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ខណៈភាគរយតាមជួរឈរមានសារៈសំខាន់សម្រាប់ប្រៀបធៀបសមាសភាពនៃការប្រើប្រាស់អគ្គិសនីក្នុងចំណោមប្រភេទផ្ទះផ្សេងៗក្នុងស្រុកដូចគ្នា។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ការជ្រើសរើសប្រើប្រាស់ភាគរយណាមួយអាស្រ័យទៅលើការវិភាគ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និងគោលបំណងជាក់លាក់។</t>
        </r>
      </text>
    </comment>
    <comment ref="B193" authorId="0" shapeId="0" xr:uid="{9891B559-FD87-4239-8A56-B3DC1DF83B7C}">
      <text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5:10 PM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ចំពោះទិន្នន័យនេះ វាមិនសមស្របក្នុងការបូកសរុបសូចនាករខុសគ្នាតាមជួរឈរ ឬគណនាភាគរយតាមជួរឈរនោះទេ ដោយសារសូចនាករនីមួយៗមានលក្ខណៈខុសគ្នា និងតំណាងឱ្យប្រជាសាស្ត្រផ្សេងៗគ្នា។ ឧទាហរណ៍ យើងមិនអាចបូកបញ្ចូលចំនួនស្ត្រីដែលសម្រាលកូនជាមួយនឹងចំនួនមរណភាពទារកបានឡើយ ព្រោះវាជាព្រឹត្តិការណ៍ខុសគ្នាទាំងស្រុង។
</t>
        </r>
        <r>
          <rPr>
            <sz val="10"/>
            <color rgb="FF000000"/>
            <rFont val="Calibri"/>
            <family val="2"/>
            <scheme val="minor"/>
          </rPr>
          <t>ដូច្នេះ វិធីសាស្ត្រសមស្របបំផុតគឺការគណនាភាគរយតាមជួរដេក។ វានឹងបង្ហាញពីចំណែករបស់ស្រុកនីមួយៗធៀបនឹងសរុបទាំងខេត្តសម្រាប់សូចនាករនីមួយៗ។</t>
        </r>
      </text>
    </comment>
    <comment ref="B212" authorId="0" shapeId="0" xr:uid="{D52BE0FA-7B11-4A2D-B31E-3EE437894531}">
      <text>
        <r>
          <rPr>
            <sz val="10"/>
            <color rgb="FF000000"/>
            <rFont val="Calibri"/>
            <family val="2"/>
          </rPr>
          <t>ចំពោះទិន្នន័យនេះ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ការគណនាភាគរយតាមជួរឈរ</t>
        </r>
        <r>
          <rPr>
            <sz val="10"/>
            <color rgb="FF000000"/>
            <rFont val="Calibri"/>
            <family val="2"/>
          </rPr>
          <t xml:space="preserve"> (</t>
        </r>
        <r>
          <rPr>
            <sz val="10"/>
            <color rgb="FF000000"/>
            <rFont val="Calibri"/>
            <family val="2"/>
          </rPr>
          <t>ភាគរយតាមស្រុកនីមួយៗ</t>
        </r>
        <r>
          <rPr>
            <sz val="10"/>
            <color rgb="FF000000"/>
            <rFont val="Calibri"/>
            <family val="2"/>
          </rPr>
          <t xml:space="preserve">) </t>
        </r>
        <r>
          <rPr>
            <sz val="10"/>
            <color rgb="FF000000"/>
            <rFont val="Calibri"/>
            <family val="2"/>
          </rPr>
          <t>អាចនឹងមិនសមស្របទេ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ដោយសារសូចនាករនីមួយៗស្ថិតនៅក្នុងប្រភេទ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និងឯកតាវាស់វែងខុសៗគ្នា។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ការបូកសរុបសូចនាករទាំងអស់ក្នុងស្រុកនីមួយៗ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អាចនឹងមិនមានន័យប៉ុន្មានឡើយ។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ទោះយ៉ាងណាក៏ដោយ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ការគណនាភាគរយតាមជួរដេក</t>
        </r>
        <r>
          <rPr>
            <sz val="10"/>
            <color rgb="FF000000"/>
            <rFont val="Calibri"/>
            <family val="2"/>
          </rPr>
          <t xml:space="preserve"> (</t>
        </r>
        <r>
          <rPr>
            <sz val="10"/>
            <color rgb="FF000000"/>
            <rFont val="Calibri"/>
            <family val="2"/>
          </rPr>
          <t>ភាគរយតាមសូចនាករនីមួយៗ</t>
        </r>
        <r>
          <rPr>
            <sz val="10"/>
            <color rgb="FF000000"/>
            <rFont val="Calibri"/>
            <family val="2"/>
          </rPr>
          <t xml:space="preserve">) </t>
        </r>
        <r>
          <rPr>
            <sz val="10"/>
            <color rgb="FF000000"/>
            <rFont val="Calibri"/>
            <family val="2"/>
          </rPr>
          <t>អាចផ្តល់នូវការយល់ដឹងមានប្រយោជន៍។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វានឹងបង្ហាញពីចំណែករបស់ស្រុកនីមួយៗចំពោះខេត្តសរុបសម្រាប់សូចនាករនីមួយៗ។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ឧទាហរណ៍៖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ភាគរយគ្រួសារស្ថិតក្នុងស្ថានភាពហានិភ័យនៅស្រុកឆ្លូងធៀបនឹងសរុបក្នុងខេត្ត៖</t>
        </r>
        <r>
          <rPr>
            <sz val="10"/>
            <color rgb="FF000000"/>
            <rFont val="Calibri"/>
            <family val="2"/>
          </rPr>
          <t xml:space="preserve"> 177 / 2,001 * 100 = 8.8%
</t>
        </r>
        <r>
          <rPr>
            <sz val="10"/>
            <color rgb="FF000000"/>
            <rFont val="Calibri"/>
            <family val="2"/>
          </rPr>
          <t>ភាគរយកុមារ</t>
        </r>
        <r>
          <rPr>
            <sz val="10"/>
            <color rgb="FF000000"/>
            <rFont val="Calibri"/>
            <family val="2"/>
          </rPr>
          <t>/</t>
        </r>
        <r>
          <rPr>
            <sz val="10"/>
            <color rgb="FF000000"/>
            <rFont val="Calibri"/>
            <family val="2"/>
          </rPr>
          <t>ក្មេងកំព្រាស្ថិតក្នុងស្ថានភាពលំបាកនៅស្រុកឆ្លូងធៀបនឹងសរុបក្នុងខេត្ត៖</t>
        </r>
        <r>
          <rPr>
            <sz val="10"/>
            <color rgb="FF000000"/>
            <rFont val="Calibri"/>
            <family val="2"/>
          </rPr>
          <t xml:space="preserve"> 148 / 1,392 * 100 = 10.6%
</t>
        </r>
        <r>
          <rPr>
            <sz val="10"/>
            <color rgb="FF000000"/>
            <rFont val="Calibri"/>
            <family val="2"/>
          </rPr>
          <t>ភាគរយកុមារី</t>
        </r>
        <r>
          <rPr>
            <sz val="10"/>
            <color rgb="FF000000"/>
            <rFont val="Calibri"/>
            <family val="2"/>
          </rPr>
          <t>/</t>
        </r>
        <r>
          <rPr>
            <sz val="10"/>
            <color rgb="FF000000"/>
            <rFont val="Calibri"/>
            <family val="2"/>
          </rPr>
          <t>ក្មេងស្រីកំព្រាស្ថិតក្នុងស្ថានភាពលំបាកនៅស្រុកឆ្លូងធៀបនឹងសរុបក្នុងខេត្ត៖</t>
        </r>
        <r>
          <rPr>
            <sz val="10"/>
            <color rgb="FF000000"/>
            <rFont val="Calibri"/>
            <family val="2"/>
          </rPr>
          <t xml:space="preserve"> 54 / 640 * 100 = 8.4%
</t>
        </r>
        <r>
          <rPr>
            <sz val="10"/>
            <color rgb="FF000000"/>
            <rFont val="Calibri"/>
            <family val="2"/>
          </rPr>
          <t xml:space="preserve">... </t>
        </r>
        <r>
          <rPr>
            <sz val="10"/>
            <color rgb="FF000000"/>
            <rFont val="Calibri"/>
            <family val="2"/>
          </rPr>
          <t>និងបន្តបែបនេះសម្រាប់សូចនាករផ្សេងទៀត។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ការគណនាបែបនេះអាចជួយកំណត់ថាតើស្រុកណាមានចំណែកខ្ពស់ជាងគេសម្រាប់សូចនាករនីមួយៗ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ធៀបនឹងកម្រិតខេត្ត។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វាអាចជួយជម្រុញការយកចិត្តទុកដាក់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និងធនធានទៅកាន់តំបន់ដែលងាយរងគ្រោះបំផុត។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ទោះបីមិនអាចប្រៀបធៀបសូចនាករទាំងអស់ក្នុងស្រុកតែមួយក៏ដោយ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ក៏អ្នកអាចប្រៀបធៀបសូចនាករដែលពាក់ព័ន្ធគ្នា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ដូចជាភាគរយនៃកុមារ</t>
        </r>
        <r>
          <rPr>
            <sz val="10"/>
            <color rgb="FF000000"/>
            <rFont val="Calibri"/>
            <family val="2"/>
          </rPr>
          <t>/</t>
        </r>
        <r>
          <rPr>
            <sz val="10"/>
            <color rgb="FF000000"/>
            <rFont val="Calibri"/>
            <family val="2"/>
          </rPr>
          <t>ក្មេងកំព្រា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ធៀបនឹងភាគរយនៃកុមារី</t>
        </r>
        <r>
          <rPr>
            <sz val="10"/>
            <color rgb="FF000000"/>
            <rFont val="Calibri"/>
            <family val="2"/>
          </rPr>
          <t>/</t>
        </r>
        <r>
          <rPr>
            <sz val="10"/>
            <color rgb="FF000000"/>
            <rFont val="Calibri"/>
            <family val="2"/>
          </rPr>
          <t>ក្មេងស្រីកំព្រា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នៅក្នុងស្រុកនីមួយៗ។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នេះអាចជួយវាយតម្លៃភាពខុសគ្នាតាមយេនឌ័រនៃបញ្ហាកុមារកំព្រាក្នុងស្រុកនីមួយៗ។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ការប្រៀបធៀបបែបនេះគួរតែធ្វើឡើងដោយប្រុងប្រយ័ត្ន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និងគិតគូរពីបរិបទជុំវិញសូចនាករនីមួយៗ។</t>
        </r>
      </text>
    </comment>
  </commentList>
</comments>
</file>

<file path=xl/sharedStrings.xml><?xml version="1.0" encoding="utf-8"?>
<sst xmlns="http://schemas.openxmlformats.org/spreadsheetml/2006/main" count="185" uniqueCount="167">
  <si>
    <t>តារាងសូចនាករតាមស្រុក-ខណ្ឌ</t>
  </si>
  <si>
    <t>ខេត្តកោះកុងឆ្នាំៈ ២០២៥</t>
  </si>
  <si>
    <t>ទិន្នន័យ២០២៥</t>
  </si>
  <si>
    <t>លេខ</t>
  </si>
  <si>
    <t>បរិយាយ</t>
  </si>
  <si>
    <t>ឯកតា</t>
  </si>
  <si>
    <t>សរុប រាជធានី/ខេត្ដ</t>
  </si>
  <si>
    <t>បុទុមសាគរ</t>
  </si>
  <si>
    <t>គិរីសាគរ</t>
  </si>
  <si>
    <t>កោះកុង</t>
  </si>
  <si>
    <t>ខេមរភូមិន្ទ</t>
  </si>
  <si>
    <t>មណ្ឌលសីមា</t>
  </si>
  <si>
    <t>ស្រែ អំបិល</t>
  </si>
  <si>
    <t>ថ្មបាំង</t>
  </si>
  <si>
    <t>ទំហំគ្រួសារជាមធ្យម</t>
  </si>
  <si>
    <t>ភាគរយនៃប្រជាជនស្រីធៀបនឹងប្រជាជនសរុប(%)</t>
  </si>
  <si>
    <t>ផលធៀបភេទ (ចំនួនបុរសក្នុង១០០នាក់ស្ត្រី)</t>
  </si>
  <si>
    <t>ភាគរយនៃគ្រួសារដែលមានស្ត្រីជាមេគ្រួសារ(%)</t>
  </si>
  <si>
    <t>ចំនួនសរុបអ្នកនៅក្នុងបន្ទុកវ័យក្មេងជាប្រុស អាយុ 0-១៤​ ឆ្នាំ</t>
  </si>
  <si>
    <t>ចំនួនសរុបអ្នកនៅក្នុងបន្ទុកវ័យក្មេងជាស្រី អាយុ 0-១៤​ ឆ្នាំ</t>
  </si>
  <si>
    <t>ចំនួនសរុបអ្នកស្ថិតនៅក្នុងពេញវ័យធ្វើការងារជាប្រុស អាយុ ១៥-៦០ ឆ្នាំ</t>
  </si>
  <si>
    <t>ចំនួនសរុបអ្នកស្ថិតនៅក្នុងពេញវ័យធ្វើការងារជាស្រី អាយុ ១៥-៦០​ ឆ្នាំ</t>
  </si>
  <si>
    <t>ចំនួនសរុបអ្នកនៅក្នុងបន្ទុកវ័យចាស់ជាបុរស អាយុ ៦១​ ឆ្នាំឡើង</t>
  </si>
  <si>
    <t>ចំនួនសរុបអ្នកនៅក្នុងបន្ទុកវ័យចាស់ជាស្ត្រី អាយុ ៦១​ ឆ្នាំឡើង</t>
  </si>
  <si>
    <t>ផលធៀបភេទ អ្នកនៅក្នុងបន្ទុកវ័យក្មេង អាយុ 0-១៤​ ឆ្នាំ</t>
  </si>
  <si>
    <t>ផលធៀបភេទ អ្នកនៅក្នុងបន្ទុកវ័យធ្វើការងារ អាយុ ១៥-៦០​ ឆ្នាំ</t>
  </si>
  <si>
    <t>ផលធៀបភេទ អ្នកនៅក្នុងបន្ទុកវ័យចាស់ អាយុ ៦១​ ឆ្នាំឡើង</t>
  </si>
  <si>
    <t>ផលធៀបអ្នកនៅក្នុងបន្ទុកវ័យក្មេង អាយុ 0-១៤​ ឆ្នាំ</t>
  </si>
  <si>
    <t>ផលធៀបអ្នកនៅក្នុងបន្ទុកវ័យចាស់ អាយុ ៦១​ ឆ្នាំឡើង</t>
  </si>
  <si>
    <t>ផលធៀបអ្នកនៅក្នុងបន្ទុកសរុបទាំងក្មេងនិងចាស់</t>
  </si>
  <si>
    <t>ផលធៀបអ្នកគាំទ្រវ័យក្មេង អាយុ 0-១៤​ ឆ្នាំ</t>
  </si>
  <si>
    <t>ផលធៀបអ្នកគាំទ្រវ័យចាស់ អាយុ ៦១​ ឆ្នាំឡើង</t>
  </si>
  <si>
    <t>ផលធៀបអ្នកគាំទ្រសរុបទាំងក្មេងនិងចាស់</t>
  </si>
  <si>
    <t>ចំនួនកុមារប្រុសអាយុ ៣-៦ ឆ្នាំ កំពុងរៀនមត្តេយ្យ</t>
  </si>
  <si>
    <t>ចំនួនកុមារីអាយុ ៣-៦ ឆ្នាំ កំពុងរៀនមត្តេយ្យ</t>
  </si>
  <si>
    <t>ចំនួនសិស្សប្រុសអាយុ ៦-១៤ ឆ្នាំ កំពុងរៀនបឋមសិក្សា</t>
  </si>
  <si>
    <t>ចំនួនសិស្សស្រីអាយុ ៦-១៤ ឆ្នាំ កំពុងរៀនបឋមសិក្សា</t>
  </si>
  <si>
    <t>ចំនួនសិស្សប្រុសអាយុ ១២-១៧ ឆ្នាំ កំពុងរៀនអនុវិទ្យាល័យ</t>
  </si>
  <si>
    <t>ចំនួនសិស្សស្រីអាយុ ១២-១៧ ឆ្នាំ កំពុងរៀនអនុវិទ្យាល័យ</t>
  </si>
  <si>
    <t>ចំនួនសិស្សប្រុសអាយុ ១៥-២៤ ឆ្នាំ កំពុងរៀនវិទ្យាល័យ</t>
  </si>
  <si>
    <t>ចំនួនសិស្សស្រីអាយុ ១៥-២៤ ឆ្នាំ កំពុងរៀនវិទ្យាល័យ</t>
  </si>
  <si>
    <t>ចំនួននិស្សិតប្រុសអាយុ ១៨-២៤ ឆ្នាំ កំពុងរៀនសកលវិទ្យាល័យ ឬ សាលាបណ្តុះបណ្តាលវិជ្ជាជីវៈ</t>
  </si>
  <si>
    <t>ចំនួននិស្សិតស្រីអាយុ ១៨-២៤ ឆ្នាំ កំពុងរៀនសកលវិទ្យាល័យ ឬ សាលាបណ្តុះបណ្តាលវិជ្ជាជីវៈ</t>
  </si>
  <si>
    <t>ចំនួនមនុស្សប្រុសអាយុ ២៥-៣៥ ឆ្នាំ កំពុងរៀនសកលវិទ្យាល័យ ឬ សាលាបណ្តុះបណ្តាលវិជ្ជាជីវៈ</t>
  </si>
  <si>
    <t>ចំនួនមនុស្សស្រីអាយុ ២៥-៣៥ ឆ្នាំ កំពុងរៀនសកលវិទ្យាល័យ ឬ សាលាបណ្តុះបណ្តាលវិជ្ជាជីវៈ</t>
  </si>
  <si>
    <r>
      <t>សរុបបុរសអាយុ១៨ឆ្នាំឡើងប្រកបមុខរបរវិស័យកសិកម្ម</t>
    </r>
    <r>
      <rPr>
        <b/>
        <sz val="12"/>
        <color theme="1"/>
        <rFont val="Khmer OS Siemreap"/>
      </rPr>
      <t xml:space="preserve"> (</t>
    </r>
    <r>
      <rPr>
        <sz val="12"/>
        <color theme="1"/>
        <rFont val="Khmer OS Siemreap"/>
      </rPr>
      <t>ធ្វើស្រែ</t>
    </r>
    <r>
      <rPr>
        <b/>
        <sz val="12"/>
        <color theme="1"/>
        <rFont val="Khmer OS Siemreap"/>
      </rPr>
      <t xml:space="preserve"> </t>
    </r>
    <r>
      <rPr>
        <sz val="12"/>
        <color theme="1"/>
        <rFont val="Khmer OS Siemreap"/>
      </rPr>
      <t>ចម្ការ</t>
    </r>
    <r>
      <rPr>
        <b/>
        <sz val="12"/>
        <color theme="1"/>
        <rFont val="Khmer OS Siemreap"/>
      </rPr>
      <t xml:space="preserve"> </t>
    </r>
    <r>
      <rPr>
        <sz val="12"/>
        <color theme="1"/>
        <rFont val="Khmer OS Siemreap"/>
      </rPr>
      <t>ដាំដំណាំ</t>
    </r>
    <r>
      <rPr>
        <b/>
        <sz val="12"/>
        <color theme="1"/>
        <rFont val="Khmer OS Siemreap"/>
      </rPr>
      <t>)</t>
    </r>
  </si>
  <si>
    <r>
      <t>សរុបស្ត្រីអាយុ១៨ឆ្នាំឡើងប្រកបមុខរបរវិស័យកសិកម្ម</t>
    </r>
    <r>
      <rPr>
        <b/>
        <sz val="12"/>
        <color theme="1"/>
        <rFont val="Khmer OS Siemreap"/>
      </rPr>
      <t xml:space="preserve"> (</t>
    </r>
    <r>
      <rPr>
        <sz val="12"/>
        <color theme="1"/>
        <rFont val="Khmer OS Siemreap"/>
      </rPr>
      <t>ធ្វើស្រែ</t>
    </r>
    <r>
      <rPr>
        <b/>
        <sz val="12"/>
        <color theme="1"/>
        <rFont val="Khmer OS Siemreap"/>
      </rPr>
      <t xml:space="preserve"> </t>
    </r>
    <r>
      <rPr>
        <sz val="12"/>
        <color theme="1"/>
        <rFont val="Khmer OS Siemreap"/>
      </rPr>
      <t>ចម្ការ</t>
    </r>
    <r>
      <rPr>
        <b/>
        <sz val="12"/>
        <color theme="1"/>
        <rFont val="Khmer OS Siemreap"/>
      </rPr>
      <t xml:space="preserve"> </t>
    </r>
    <r>
      <rPr>
        <sz val="12"/>
        <color theme="1"/>
        <rFont val="Khmer OS Siemreap"/>
      </rPr>
      <t>ដាំដំណាំ</t>
    </r>
    <r>
      <rPr>
        <b/>
        <sz val="12"/>
        <color theme="1"/>
        <rFont val="Khmer OS Siemreap"/>
      </rPr>
      <t>)</t>
    </r>
  </si>
  <si>
    <r>
      <t>សរុបបុរសអាយុ១៨ឆ្នាំឡើងប្រកបមុខរបរនេសាទ</t>
    </r>
    <r>
      <rPr>
        <b/>
        <sz val="12"/>
        <color theme="1"/>
        <rFont val="Khmer OS Siemreap"/>
      </rPr>
      <t xml:space="preserve"> </t>
    </r>
    <r>
      <rPr>
        <sz val="12"/>
        <color theme="1"/>
        <rFont val="Khmer OS Siemreap"/>
      </rPr>
      <t>ចិញ្ចឹមសត្វ</t>
    </r>
    <r>
      <rPr>
        <b/>
        <sz val="12"/>
        <color theme="1"/>
        <rFont val="Khmer OS Siemreap"/>
      </rPr>
      <t xml:space="preserve"> </t>
    </r>
    <r>
      <rPr>
        <sz val="12"/>
        <color theme="1"/>
        <rFont val="Khmer OS Siemreap"/>
      </rPr>
      <t>និងប្រមូលអនុផលព្រៃឈើ</t>
    </r>
  </si>
  <si>
    <r>
      <t>សរុបស្ត្រីអាយុ១៨ឆ្នាំឡើងប្រកបមុខរបរនេសាទ</t>
    </r>
    <r>
      <rPr>
        <b/>
        <sz val="12"/>
        <color theme="1"/>
        <rFont val="Khmer OS Siemreap"/>
      </rPr>
      <t xml:space="preserve"> </t>
    </r>
    <r>
      <rPr>
        <sz val="12"/>
        <color theme="1"/>
        <rFont val="Khmer OS Siemreap"/>
      </rPr>
      <t>ចិញ្ចឹមសត្វ</t>
    </r>
    <r>
      <rPr>
        <b/>
        <sz val="12"/>
        <color theme="1"/>
        <rFont val="Khmer OS Siemreap"/>
      </rPr>
      <t xml:space="preserve"> </t>
    </r>
    <r>
      <rPr>
        <sz val="12"/>
        <color theme="1"/>
        <rFont val="Khmer OS Siemreap"/>
      </rPr>
      <t>និងប្រមូលអនុផលព្រៃឈើ</t>
    </r>
  </si>
  <si>
    <r>
      <t>សរុបបុរសអាយុ១៨ឆ្នាំឡើងប្រកបមុខរបរសិប្បកម្មផលិតនានា</t>
    </r>
    <r>
      <rPr>
        <b/>
        <sz val="12"/>
        <color theme="1"/>
        <rFont val="Khmer OS Siemreap"/>
      </rPr>
      <t xml:space="preserve"> (</t>
    </r>
    <r>
      <rPr>
        <sz val="12"/>
        <color theme="1"/>
        <rFont val="Khmer OS Siemreap"/>
      </rPr>
      <t>សិប្បកម្មត្បាញ</t>
    </r>
    <r>
      <rPr>
        <b/>
        <sz val="12"/>
        <color theme="1"/>
        <rFont val="Khmer OS Siemreap"/>
      </rPr>
      <t xml:space="preserve"> </t>
    </r>
    <r>
      <rPr>
        <sz val="12"/>
        <color theme="1"/>
        <rFont val="Khmer OS Siemreap"/>
      </rPr>
      <t>សិប្បកម្មធ្វើគ្រឿងសង្ហារឹមពីឈើ</t>
    </r>
    <r>
      <rPr>
        <b/>
        <sz val="12"/>
        <color theme="1"/>
        <rFont val="Khmer OS Siemreap"/>
      </rPr>
      <t>...)</t>
    </r>
  </si>
  <si>
    <r>
      <t>សរុបស្ត្រីអាយុ១៨ឆ្នាំឡើងប្រកបមុខរបរសិប្បកម្មផលិតនានា</t>
    </r>
    <r>
      <rPr>
        <b/>
        <sz val="12"/>
        <color theme="1"/>
        <rFont val="Khmer OS Siemreap"/>
      </rPr>
      <t xml:space="preserve"> (</t>
    </r>
    <r>
      <rPr>
        <sz val="12"/>
        <color theme="1"/>
        <rFont val="Khmer OS Siemreap"/>
      </rPr>
      <t>សិប្បកម្មត្បាញ</t>
    </r>
    <r>
      <rPr>
        <b/>
        <sz val="12"/>
        <color theme="1"/>
        <rFont val="Khmer OS Siemreap"/>
      </rPr>
      <t xml:space="preserve"> </t>
    </r>
    <r>
      <rPr>
        <sz val="12"/>
        <color theme="1"/>
        <rFont val="Khmer OS Siemreap"/>
      </rPr>
      <t>សិប្បកម្មធ្វើគ្រឿងសង្ហារឹមពីឈើ</t>
    </r>
    <r>
      <rPr>
        <b/>
        <sz val="12"/>
        <color theme="1"/>
        <rFont val="Khmer OS Siemreap"/>
      </rPr>
      <t>...)</t>
    </r>
  </si>
  <si>
    <r>
      <t>សរុបបុរសអាយុ១៨ឆ្នាំឡើងប្រកបមុខរបរសេវាកម្មផ្សេងៗ</t>
    </r>
    <r>
      <rPr>
        <b/>
        <sz val="12"/>
        <color theme="1"/>
        <rFont val="Khmer OS Siemreap"/>
      </rPr>
      <t xml:space="preserve"> (</t>
    </r>
    <r>
      <rPr>
        <sz val="12"/>
        <color theme="1"/>
        <rFont val="Khmer OS Siemreap"/>
      </rPr>
      <t>ជំនួញ</t>
    </r>
    <r>
      <rPr>
        <b/>
        <sz val="12"/>
        <color theme="1"/>
        <rFont val="Khmer OS Siemreap"/>
      </rPr>
      <t xml:space="preserve"> </t>
    </r>
    <r>
      <rPr>
        <sz val="12"/>
        <color theme="1"/>
        <rFont val="Khmer OS Siemreap"/>
      </rPr>
      <t>ជួសជុល</t>
    </r>
    <r>
      <rPr>
        <b/>
        <sz val="12"/>
        <color theme="1"/>
        <rFont val="Khmer OS Siemreap"/>
      </rPr>
      <t xml:space="preserve"> </t>
    </r>
    <r>
      <rPr>
        <sz val="12"/>
        <color theme="1"/>
        <rFont val="Khmer OS Siemreap"/>
      </rPr>
      <t>ដឹកជញ្ជូន</t>
    </r>
    <r>
      <rPr>
        <b/>
        <sz val="12"/>
        <color theme="1"/>
        <rFont val="Khmer OS Siemreap"/>
      </rPr>
      <t xml:space="preserve"> </t>
    </r>
    <r>
      <rPr>
        <sz val="12"/>
        <color theme="1"/>
        <rFont val="Khmer OS Siemreap"/>
      </rPr>
      <t>ធ្វើការក្នុងសាធារណៈ/វិស័យឯកជន</t>
    </r>
    <r>
      <rPr>
        <b/>
        <sz val="12"/>
        <color theme="1"/>
        <rFont val="Khmer OS Siemreap"/>
      </rPr>
      <t>...)</t>
    </r>
  </si>
  <si>
    <r>
      <t>សរុបស្ត្រីអាយុ១៨ឆ្នាំឡើងប្រកបមុខរបរសេវាកម្មផ្សេងៗ</t>
    </r>
    <r>
      <rPr>
        <b/>
        <sz val="12"/>
        <color theme="1"/>
        <rFont val="Khmer OS Siemreap"/>
      </rPr>
      <t xml:space="preserve"> (</t>
    </r>
    <r>
      <rPr>
        <sz val="12"/>
        <color theme="1"/>
        <rFont val="Khmer OS Siemreap"/>
      </rPr>
      <t>ជំនួញ</t>
    </r>
    <r>
      <rPr>
        <b/>
        <sz val="12"/>
        <color theme="1"/>
        <rFont val="Khmer OS Siemreap"/>
      </rPr>
      <t xml:space="preserve"> </t>
    </r>
    <r>
      <rPr>
        <sz val="12"/>
        <color theme="1"/>
        <rFont val="Khmer OS Siemreap"/>
      </rPr>
      <t>ជួសជុល</t>
    </r>
    <r>
      <rPr>
        <b/>
        <sz val="12"/>
        <color theme="1"/>
        <rFont val="Khmer OS Siemreap"/>
      </rPr>
      <t xml:space="preserve"> </t>
    </r>
    <r>
      <rPr>
        <sz val="12"/>
        <color theme="1"/>
        <rFont val="Khmer OS Siemreap"/>
      </rPr>
      <t>ដឹកជញ្ជូន</t>
    </r>
    <r>
      <rPr>
        <b/>
        <sz val="12"/>
        <color theme="1"/>
        <rFont val="Khmer OS Siemreap"/>
      </rPr>
      <t xml:space="preserve"> </t>
    </r>
    <r>
      <rPr>
        <sz val="12"/>
        <color theme="1"/>
        <rFont val="Khmer OS Siemreap"/>
      </rPr>
      <t>ធ្វើការក្នុងវិស័យសាធារណៈ/ឯកជន</t>
    </r>
    <r>
      <rPr>
        <b/>
        <sz val="12"/>
        <color theme="1"/>
        <rFont val="Khmer OS Siemreap"/>
      </rPr>
      <t>...)</t>
    </r>
  </si>
  <si>
    <t>ចំនួនសរុបទីតាំងម៉ាស៊ីនកិនស្រូវខ្នាតតូច មធ្យម និងធំ</t>
  </si>
  <si>
    <t>ចំនួនសរុបកម្មករធ្វើការនៅតាមទីតាំងម៉ាស៊ីនកិនស្រូវខ្នាតតូច មធ្យម និងធំ</t>
  </si>
  <si>
    <t>ចំនួនសរុបកម្មករស្រីធ្វើការនៅតាមទីតាំងម៉ាស៊ីនកិនស្រូវខ្នាតតូច មធ្យម និងធំ</t>
  </si>
  <si>
    <t>ចំនួនទីតាំងម៉ាស៊ីនភ្លើងសំរាប់ធ្វើអាជីវកម្មផ្ដល់ថាមពលអគ្គីសនី</t>
  </si>
  <si>
    <t>ចំនួនកម្មករធ្វើការនៅតាមទីតាំងម៉ាស៊ីនភ្លើងសំរាប់ធ្វើអាជីវកម្មផ្ដល់ថាមពលអគ្គីសនី</t>
  </si>
  <si>
    <t>ចំនួនកម្មករស្រីធ្វើការនៅតាមទីតាំងម៉ាស៊ីនភ្លើងសំរាប់ធ្វើអាជីវកម្មផ្ដល់ថាមពលអគ្គីសនី</t>
  </si>
  <si>
    <t>ចំនួនសរុបទីតាំងសិប្បកម្ម ផលិតកម្មទាំងអស់ (សិប្បកម្មបន្តពីវប្បធម៌)</t>
  </si>
  <si>
    <t>ចំនួនសរុបកម្មករធ្វើការនៅតាមទីតាំងសិប្បកម្ម ផលិតកម្មទាំងអស់ (សិប្បកម្មបន្តពីវប្បធម៌)</t>
  </si>
  <si>
    <t>ចំនួនសរុបកម្មករស្រីធ្វើការនៅតាមទីតាំងសិប្បកម្ម ផលិតកម្មទាំងអស់ (សិប្បកម្មបន្តពីវប្បធម៌)</t>
  </si>
  <si>
    <t>ចំនួនសរុបទីតាំងសិប្បកម្ម ផលិតកម្មទាំងអស់ (សិប្បកម្មទំនើប)</t>
  </si>
  <si>
    <t>ចំនួនសរុបកម្មករធ្វើការនៅតាមទីតាំងសិប្បកម្ម ផលិតកម្មទាំងអស់ (សិប្បកម្មទំនើប)</t>
  </si>
  <si>
    <t>ចំនួនសរុបកម្មករស្រីធ្វើការនៅតាមទីតាំងសិប្បកម្ម ផលិតកម្មទាំងអស់ (សិប្បកម្មទំនើប)</t>
  </si>
  <si>
    <t>ចំនួនសរុបទីតាំងសិប្បកម្ម ផលិតកម្មទាំងអស់ (សិប្បកម្មកែច្នៃ និងវេចខ្ចប់អាហារ)</t>
  </si>
  <si>
    <t>ចំនួនសរុបកម្មករធ្វើការនៅតាមទីតាំងសិប្បកម្ម ផលិតកម្មទាំងអស់ (សិប្បកម្មកែច្នៃ និងវេចខ្ចប់អាហារ)</t>
  </si>
  <si>
    <t>ចំនួនសរុបកម្មករស្រីធ្វើការនៅតាមទីតាំងសិប្បកម្ម ផលិតកម្មទាំងអស់ (សិប្បកម្មកែច្នៃ និងវេចខ្ចប់អាហារ)</t>
  </si>
  <si>
    <t>ចំនួនសរុបទីតាំងផ្សារ</t>
  </si>
  <si>
    <t>ចំនួនសរុបទីតាំងក្រុមលក់ទំនិញអាជីវកម្មលក់ទំនិញប្រើប្រាស់</t>
  </si>
  <si>
    <t>ចំនួនសរុបកម្មករធ្វើការនៅតាមទីតាំងក្រុមអាជីវកម្មលក់ទំនិញប្រើប្រាស់</t>
  </si>
  <si>
    <t>ចំនួនសរុបកម្មករស្រីធ្វើការនៅតាមទីតាំងក្រុមលក់ទំនិញប្រើប្រាស់</t>
  </si>
  <si>
    <t>ចំនួនសរុបទីតាំងក្រុមសេវាកម្មខ្នាតតូច និងអាហារដ្ឋាន</t>
  </si>
  <si>
    <t>ចំនួនសរុបកម្មករធ្វើការនៅតាមទីតាំងក្រុមសេវាកម្មខ្នាតតូច និងអាហារដ្ឋាន</t>
  </si>
  <si>
    <t>ចំនួនសរុបកម្មករស្រីធ្វើការនៅតាមទីតាំងក្រុមសេវាកម្មខ្នាតតូច និងអាហារដ្ឋាន</t>
  </si>
  <si>
    <t>ចំនួនសរុបទីតាំងក្រុមជួសជុល និងបច្ចេកទេស</t>
  </si>
  <si>
    <t>ចំនួនសរុបកម្មករធ្វើការនៅតាមទីតាំងក្រុមជួសជុល និងបច្ចេកទេស</t>
  </si>
  <si>
    <t>ចំនួនសរុបកម្មករស្រីធ្វើការនៅតាមទីតាំងក្រុមជួសជុល និងបច្ចេកទេស</t>
  </si>
  <si>
    <t>ចំនួនសរុបទីតាំងក្រុមសេវាសុខាភិបាល</t>
  </si>
  <si>
    <t>ចំនួនសរុបកម្មករធ្វើការនៅតាមទីតាំងក្រុមសេវាសុខាភិបាល</t>
  </si>
  <si>
    <t>ចំនួនសរុបកម្មករស្រីធ្វើការនៅតាមទីតាំងក្រុមសេវាសុខាភិបាល</t>
  </si>
  <si>
    <t>ចំនួនសរុបទីតាំងក្រុមផ្ទះសំណាក់ និងសណ្ឋាគារ</t>
  </si>
  <si>
    <t>ចំនួនសរុបកម្មករធ្វើការនៅតាមទីតាំងក្រុមផ្ទះសំណាក់ និងសណ្ឋាគារ</t>
  </si>
  <si>
    <t>ចំនួនសរុបកម្មករស្រីធ្វើការនៅតាមទីតាំងក្រុមផ្ទះសំណាក់ និងសណ្ឋាគារ</t>
  </si>
  <si>
    <t>ចំនួនគ្រួសារក្នុងក្រុមស្ថានភាពកាន់កាប់ដីកសិកម្មស្រែនិងចំការ</t>
  </si>
  <si>
    <t>ចំនួនគ្រួសារក្នុងក្រុមមានធនធានទឹក និងប្រព័ន្ធធារាសាស្ត្រ</t>
  </si>
  <si>
    <t>ចំនួនគ្រួសារក្នុងក្រុមបច្ចេកទេស និងវិធីសាស្ត្រកសិកម្ម</t>
  </si>
  <si>
    <t>សរុបចំនួនគ្រួសារកសិកម្មនិងធនធាន</t>
  </si>
  <si>
    <t>ទិន្នផលស្រូវជាមធ្យមក្នុងក្រុមផលិតភាពកសិកម្មប្រាំងនិងវស្សា (តោន)</t>
  </si>
  <si>
    <t>តម្លៃលក់ស្រូវជាមធ្យម(រៀល)</t>
  </si>
  <si>
    <t>ចំនួនគ្រឿងយន្តភ្ជួររាស់</t>
  </si>
  <si>
    <t>ចំនួនគ្រឿងយន្តដាំដុះ និងថែទាំ</t>
  </si>
  <si>
    <t>ចំនួនគ្រឿងយន្តប្រមូលផលសរុប</t>
  </si>
  <si>
    <t>ចំនួនគ្រឿងយន្តកែច្នៃ</t>
  </si>
  <si>
    <t>សរុបចំនួនគ្រឿងយន្តកសិកម្ម</t>
  </si>
  <si>
    <t>ចំនួនគ្រួសារមានគ្រឿងយន្តភ្ជួររាស់</t>
  </si>
  <si>
    <t>ចំនួនគ្រួសារមានគ្រឿងយន្តដាំដុះ</t>
  </si>
  <si>
    <t>ចំនួនគ្រួសារមានគ្រឿងយន្តប្រមូលផល</t>
  </si>
  <si>
    <t>ចំនួនគ្រួសារមានគ្រឿងយន្តកែច្នៃ</t>
  </si>
  <si>
    <t>សរុបចំនួនគ្រួសារមានគ្រឿងយន្តកសិកម្ម</t>
  </si>
  <si>
    <t>សរុបចំនួនរថយន្តអាជីវកម្ម និងគ្រឿងចក្រ</t>
  </si>
  <si>
    <t>សរុបចំនួនមធ្យោបាយធ្វើដំណើរគ្រួសារ(កង់ ម៉ូតូ ម៉ូតូកង់បី រថយន្ត)</t>
  </si>
  <si>
    <t>សរុបចំនួនគ្រួសារមានរថយន្តអាជីវកម្ម និងគ្រឿងចក្រ</t>
  </si>
  <si>
    <t>សរុបចំនួនគ្រួសារមានមធ្យោបាយធ្វើដំណើរ(កង់ ម៉ូតូ ម៉ូតូកង់បី រថយន្ត)</t>
  </si>
  <si>
    <t>សរុបទូកអុំ/ទូកចែវ (គ្មានម៉ាស៊ីន)</t>
  </si>
  <si>
    <t>សរុបទូកម៉ាស៊ីន និងកាណូត</t>
  </si>
  <si>
    <t>គ្រួសារមានទូកអុំ/ទូកចែវ</t>
  </si>
  <si>
    <t>គ្រួសារមានទូកម៉ាស៊ីន/កាណូត</t>
  </si>
  <si>
    <t>ចំងាយជាមធ្យមពីចំណុចកណ្ដាលភូមិទៅសាលាឃុំ/សង្កាត់គិតជា គ.ម</t>
  </si>
  <si>
    <t>ចំងាយជាមធ្យមពីចំណុចកណ្ដាលភូមិទៅសាលាស្រុក/ខណ្ឌ័គិតជា គ.ម</t>
  </si>
  <si>
    <t>ចំងាយជាមធ្យមពីចំណុចកណ្ដាលភូមិទៅសាលាខេត្ដ/ក្រុងគិតជា គ.ម</t>
  </si>
  <si>
    <t>សរុបចំនួនសត្វចតុប្បាទធំៗគោ ក្របី និងពពែ</t>
  </si>
  <si>
    <t>សរុបចំនួនសត្វចិញ្ចឹមយកសាច់ជ្រូក មាន់ និងទា</t>
  </si>
  <si>
    <t>សរុបគ្រួសារចិញ្ចឹមសត្វ (គោ ក្របី ជ្រូក មាន់ ទា ពពែ)</t>
  </si>
  <si>
    <t>សរុបគ្រួសារចិញ្ចឹមវារីសត្វគ្រួសារចិញ្ចឹម (ក្រពើ ត្រី បង្កង បង្គា)</t>
  </si>
  <si>
    <t>សរុបទិន្នផលវារីវប្បកម្មបរិមាណផលិតផល (ត្រី បង្កង បង្គា)</t>
  </si>
  <si>
    <t>ចំនួនផ្ទះកម្រិតទាប/បណ្តោះអាសន្ន</t>
  </si>
  <si>
    <t>ចំនួនផ្ទះកម្រិតមធ្យម</t>
  </si>
  <si>
    <t>ចំនួនផ្ទះកម្រិតខ្ពស់/សំណង់រឹង</t>
  </si>
  <si>
    <t>សរុបចំនួនផ្ទះ</t>
  </si>
  <si>
    <t>ចំនួនគ្រួសាររស់នៅកម្រិតជីវភាពខ្វះខាត</t>
  </si>
  <si>
    <t>ចំនួនគ្រួសាររស់នៅកម្រិតជីវភាពមធ្យម</t>
  </si>
  <si>
    <t>ចំនួនគ្រួសាររស់នៅកម្រិតជីវភាពធូរធារ</t>
  </si>
  <si>
    <t>សរុបចំនួនគ្រួសារ</t>
  </si>
  <si>
    <t>ចំងាយពីចំនុចកណ្ដាលភូមិទៅមណ្ឌលសុខភាព</t>
  </si>
  <si>
    <t>ចំនួនឆ្មបដែលបានបណ្ដុះបណ្ដាលមានក្នុងភូមិ</t>
  </si>
  <si>
    <t>ចំនួនស្រ្តីដែលសំរាលកូនក្នុង១ឆ្នាំកន្លងទៅ</t>
  </si>
  <si>
    <t>ចំនួនទារកដែលបានកើតរស់</t>
  </si>
  <si>
    <t>ចំនួនមរណៈភាពមាតាបន្ទាប់ពីសំរាលកូនក្នុងចន្លោះ ០-១ខែ</t>
  </si>
  <si>
    <t>ចំនួនមរណៈភាពទារកក្នុងចន្លោះអាយុ ០-១ខែ</t>
  </si>
  <si>
    <t>ចំនួនទារកដែលបានចុះសំបុត្រកំណើត</t>
  </si>
  <si>
    <t>ចំនួនកុមារដែលមានអាយុចន្លោះពី៩-១២ខែ</t>
  </si>
  <si>
    <t>ចំនួនកុមារដែលមានអាយុចន្លោះពី៩-១២ខែបានចាក់ថ្នាំបង្កាគ្រប់ចំនួន</t>
  </si>
  <si>
    <t>សរុបចំនួនគ្រួសារប្រើប្រាស់ប្រភពទឹកមានសុវត្ថិភាព</t>
  </si>
  <si>
    <t>សរុបចំនួនគ្រួសារប្រើប្រាស់ប្រភពទឹកមិនមានសុវត្ថិភាព</t>
  </si>
  <si>
    <t>សរុបចំនួនគ្រួសារប្រើប្រាស់ប្រភពទឹក</t>
  </si>
  <si>
    <t>សរុបចំនួនទីតាំងប្រភពទឹក</t>
  </si>
  <si>
    <t>សរុបចំនួនគ្រួសារមានទម្លាប់ហូបទឹកមានសុវត្ថិភាព</t>
  </si>
  <si>
    <t>ចំនួនគ្រួសារដែលមានទឹកបំពង់ទុយោ ឬអណ្ដូងស្នប់ ឬអណ្ដូងលូ ប្រើប្រាស់</t>
  </si>
  <si>
    <t>សរុបចំនួនបង្គន់អនាម័យ</t>
  </si>
  <si>
    <t>សរុបចំនួនគ្រួសារប្រើប្រាស់បង្គន់អនាម័យ (គ្រប់ប្រភេទ)</t>
  </si>
  <si>
    <t>សរុបចំនួនគ្រួសារស្ថិតក្នុងស្ថានភាពហានិភ័យ</t>
  </si>
  <si>
    <t>សរុបចំនួនកុមារ/ក្មេងកំព្រាស្ថិតក្នុងស្ថានភាពលំបាក</t>
  </si>
  <si>
    <t>សរុបចំនួនកុមារី/ក្មេងស្រីកំព្រាស្ថិតក្នុងស្ថានភាពលំបាក</t>
  </si>
  <si>
    <t>សរុបចំនួនមនុស្សអាណាថា និងចាស់ជរាគ្មានទីពឹង</t>
  </si>
  <si>
    <t>សរុបចំនួនជនរងគ្រោះដោយអំពើហិង្សា និងការជួញដូរ</t>
  </si>
  <si>
    <t>សរុបចំនួនជនមានពិការភាព (គ្រប់ប្រភេទ)</t>
  </si>
  <si>
    <t>សរុបចំនួនស្ត្រី និងកុមារីមានពិការភាព</t>
  </si>
  <si>
    <t>សរុបចំនួនជនពិការអាយុ១៨ឆ្នាំឡើងអាចរកចំណូលបាននិងមិនបាន</t>
  </si>
  <si>
    <t>សរុបចំនួនគ្រួសាររងគ្រោះដោយមហន្តរាយ</t>
  </si>
  <si>
    <t>សរុបចំនួនមនុស្សរងគ្រោះដោយមហន្តរាយ</t>
  </si>
  <si>
    <t>ចំនួនគ្រួសារដែលរស់នៅក្នុងបរិវេណតំបន់ការពារឬអភិរក្ស</t>
  </si>
  <si>
    <t>ចំនួនមនុស្សដែលរស់នៅក្នុងបរិវេណតំបន់ការពារឬអភិរក្ស</t>
  </si>
  <si>
    <t>ចំនួនគ្រួសារដែលមានសេវាប្រមូលសំរាម</t>
  </si>
  <si>
    <t>ចំនួនគ្រួសារដែលទទួលការពិបាកពីការបំពុលបរិស្ថាន</t>
  </si>
  <si>
    <t>សរុបចំនួនករណីបទល្មើស( ព្រហ្មទណ្ឌ និងរដ្ឋប្បវេណី)</t>
  </si>
  <si>
    <t>សរុបចំនួនករណីទំនាស់ដីធ្លី និងទូទៅ (ព្រហ្មទណ្ឌ និងរដ្ឋប្បវេណី)</t>
  </si>
  <si>
    <t>សរុបចំនួនគ្រួសាររងគ្រោះដោយអំពើហិង្សា និងគ្រឿងញៀន</t>
  </si>
  <si>
    <t>សរុបចំនួនជនរងគ្រោះដោយអំពើហិង្សាក្នុងគ្រួសារ</t>
  </si>
  <si>
    <t>សរុបចំនួនស្រ្តីរងគ្រោះដោយអំពើហិង្សាក្នុងគ្រួសារ</t>
  </si>
  <si>
    <t>សរុបចំនួនមរណភាពដោយអំពើហិង្សា</t>
  </si>
  <si>
    <t>សរុបចំនួនមរណភាពដោយគ្រោះថ្នាក់ចរាចរណ៍</t>
  </si>
  <si>
    <t>សរុបចំនួនមរណភាពដោយគ្រោះធម្មជាតិ</t>
  </si>
  <si>
    <t>សរុបចំនួនមរណភាពដោយជំងឺ</t>
  </si>
  <si>
    <t>សរុបចំនួនមរណភាពដោយមូលហេតុផ្សេងៗ</t>
  </si>
  <si>
    <t>សរុបចំនួនស្ត្រីមរណភាព(គ្រប់មូលហេតុ)</t>
  </si>
  <si>
    <t>សរុបចំនួនមរណភាពកុមារក្រោម ៥ ឆ្នាំ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</si>
</sst>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0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Khmer OS Siemreap-Kh Auto"/>
    </font>
    <font>
      <b/>
      <sz val="16"/>
      <color theme="1"/>
      <name val="Khmer OS Siemreap-Kh Auto"/>
    </font>
    <font>
      <sz val="11"/>
      <color theme="1"/>
      <name val="Khmer OS Siemreap-Kh Auto"/>
    </font>
    <font>
      <sz val="12"/>
      <color theme="1"/>
      <name val="Khmer OS Siemreap-Kh Auto"/>
    </font>
    <font>
      <sz val="12"/>
      <color theme="1"/>
      <name val="Khmer OS Siemreap"/>
    </font>
    <font>
      <b/>
      <sz val="14"/>
      <color theme="1"/>
      <name val="Khmer OS Siemreap-Kh Auto"/>
    </font>
    <font>
      <b/>
      <sz val="12"/>
      <color rgb="FFFFFFFF"/>
      <name val="Khmer OS Siemreap-Kh Auto"/>
    </font>
    <font>
      <b/>
      <sz val="12"/>
      <color rgb="FFFFFFFF"/>
      <name val="Khmer OS Siemreap"/>
    </font>
    <font>
      <b/>
      <sz val="10"/>
      <color rgb="FFFFFFFF"/>
      <name val="Khmer OS Siemreap-Kh Auto"/>
    </font>
    <font>
      <b/>
      <sz val="12"/>
      <color rgb="FF000000"/>
      <name val="Khmer OS Battambang"/>
    </font>
    <font>
      <sz val="10"/>
      <color theme="1"/>
      <name val="Khmer OS Siemreap-Kh Auto"/>
    </font>
    <font>
      <sz val="10"/>
      <name val="Khmer OS Siemreap-Kh Auto"/>
    </font>
    <font>
      <b/>
      <sz val="12"/>
      <color theme="1"/>
      <name val="Khmer OS Siemreap"/>
    </font>
    <font>
      <b/>
      <sz val="10"/>
      <color theme="1"/>
      <name val="Khmer OS Siemreap-Kh Auto"/>
    </font>
    <font>
      <sz val="12"/>
      <name val="Khmer OS Siemreap"/>
    </font>
    <font>
      <b/>
      <sz val="12"/>
      <name val="Khmer OS Siemreap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00F7FF"/>
        <bgColor rgb="FF000000"/>
      </patternFill>
    </fill>
    <fill>
      <patternFill patternType="solid">
        <fgColor rgb="FF2E75B6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 style="medium">
        <color rgb="FF1F4E79"/>
      </left>
      <right style="thin">
        <color rgb="FFB4C6E7"/>
      </right>
      <top style="medium">
        <color rgb="FF1F4E79"/>
      </top>
      <bottom/>
      <diagonal/>
    </border>
    <border>
      <left style="thin">
        <color rgb="FFB4C6E7"/>
      </left>
      <right style="thin">
        <color rgb="FFB4C6E7"/>
      </right>
      <top style="medium">
        <color rgb="FF1F4E7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1F4E79"/>
      </left>
      <right/>
      <top style="thin">
        <color rgb="FF1F4E79"/>
      </top>
      <bottom style="thin">
        <color rgb="FF1F4E79"/>
      </bottom>
      <diagonal/>
    </border>
    <border>
      <left/>
      <right style="thin">
        <color rgb="FFB4C6E7"/>
      </right>
      <top style="thin">
        <color rgb="FF1F4E79"/>
      </top>
      <bottom style="thin">
        <color rgb="FF1F4E79"/>
      </bottom>
      <diagonal/>
    </border>
    <border>
      <left style="thin">
        <color rgb="FFB4C6E7"/>
      </left>
      <right style="thin">
        <color rgb="FFB4C6E7"/>
      </right>
      <top style="thin">
        <color rgb="FF1F4E79"/>
      </top>
      <bottom style="thin">
        <color rgb="FF1F4E79"/>
      </bottom>
      <diagonal/>
    </border>
    <border>
      <left style="medium">
        <color rgb="FF1F4E79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medium">
        <color rgb="FF1F4E79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medium">
        <color rgb="FF1F4E79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1F4E79"/>
      </left>
      <right style="thin">
        <color rgb="FFB4C6E7"/>
      </right>
      <top/>
      <bottom style="thin">
        <color rgb="FF1F4E79"/>
      </bottom>
      <diagonal/>
    </border>
    <border>
      <left style="thin">
        <color rgb="FFB4C6E7"/>
      </left>
      <right style="thin">
        <color rgb="FFB4C6E7"/>
      </right>
      <top/>
      <bottom style="thin">
        <color rgb="FF1F4E79"/>
      </bottom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medium">
        <color rgb="FF1F4E79"/>
      </left>
      <right style="thin">
        <color rgb="FFB4C6E7"/>
      </right>
      <top style="thin">
        <color rgb="FF1F4E79"/>
      </top>
      <bottom style="thin">
        <color rgb="FF1F4E79"/>
      </bottom>
      <diagonal/>
    </border>
    <border>
      <left style="thin">
        <color rgb="FFB4C6E7"/>
      </left>
      <right style="medium">
        <color rgb="FF1F4E79"/>
      </right>
      <top style="thin">
        <color rgb="FF1F4E79"/>
      </top>
      <bottom style="thin">
        <color rgb="FF1F4E79"/>
      </bottom>
      <diagonal/>
    </border>
    <border>
      <left/>
      <right style="thin">
        <color rgb="FFB4C6E7"/>
      </right>
      <top/>
      <bottom/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medium">
        <color rgb="FF1F4E79"/>
      </left>
      <right/>
      <top/>
      <bottom style="thin">
        <color rgb="FF1F4E79"/>
      </bottom>
      <diagonal/>
    </border>
    <border>
      <left style="medium">
        <color rgb="FF1F4E79"/>
      </left>
      <right/>
      <top style="thin">
        <color rgb="FF1F4E79"/>
      </top>
      <bottom/>
      <diagonal/>
    </border>
    <border>
      <left style="medium">
        <color rgb="FF1F4E79"/>
      </left>
      <right/>
      <top/>
      <bottom style="thin">
        <color rgb="FFB4C6E7"/>
      </bottom>
      <diagonal/>
    </border>
    <border>
      <left style="medium">
        <color rgb="FF1F4E79"/>
      </left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6" fillId="0" borderId="0" xfId="1" applyFont="1" applyAlignment="1">
      <alignment horizontal="left" vertical="center"/>
    </xf>
    <xf numFmtId="0" fontId="7" fillId="0" borderId="1" xfId="1" applyFont="1" applyBorder="1" applyAlignment="1">
      <alignment vertical="center"/>
    </xf>
    <xf numFmtId="0" fontId="8" fillId="2" borderId="2" xfId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/>
    </xf>
    <xf numFmtId="0" fontId="9" fillId="4" borderId="5" xfId="1" applyFont="1" applyFill="1" applyBorder="1" applyAlignment="1">
      <alignment vertical="center"/>
    </xf>
    <xf numFmtId="0" fontId="10" fillId="4" borderId="6" xfId="1" applyFont="1" applyFill="1" applyBorder="1" applyAlignment="1">
      <alignment vertical="center"/>
    </xf>
    <xf numFmtId="3" fontId="10" fillId="4" borderId="7" xfId="1" applyNumberFormat="1" applyFont="1" applyFill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left" vertical="center"/>
    </xf>
    <xf numFmtId="0" fontId="12" fillId="0" borderId="9" xfId="1" applyFont="1" applyBorder="1" applyAlignment="1">
      <alignment vertical="center"/>
    </xf>
    <xf numFmtId="3" fontId="12" fillId="0" borderId="9" xfId="1" applyNumberFormat="1" applyFont="1" applyBorder="1" applyAlignment="1">
      <alignment horizontal="right" vertical="center"/>
    </xf>
    <xf numFmtId="0" fontId="5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left" vertical="center"/>
    </xf>
    <xf numFmtId="0" fontId="12" fillId="0" borderId="11" xfId="1" applyFont="1" applyBorder="1" applyAlignment="1">
      <alignment vertical="center"/>
    </xf>
    <xf numFmtId="3" fontId="12" fillId="0" borderId="11" xfId="1" applyNumberFormat="1" applyFont="1" applyBorder="1" applyAlignment="1">
      <alignment horizontal="right" vertical="center"/>
    </xf>
    <xf numFmtId="0" fontId="5" fillId="0" borderId="12" xfId="1" applyFont="1" applyBorder="1" applyAlignment="1">
      <alignment horizontal="center" vertical="center"/>
    </xf>
    <xf numFmtId="0" fontId="6" fillId="0" borderId="13" xfId="1" applyFont="1" applyBorder="1" applyAlignment="1">
      <alignment horizontal="left" vertical="center"/>
    </xf>
    <xf numFmtId="0" fontId="12" fillId="0" borderId="13" xfId="1" applyFont="1" applyBorder="1" applyAlignment="1">
      <alignment vertical="center"/>
    </xf>
    <xf numFmtId="3" fontId="12" fillId="0" borderId="13" xfId="1" applyNumberFormat="1" applyFont="1" applyBorder="1" applyAlignment="1">
      <alignment horizontal="right" vertical="center"/>
    </xf>
    <xf numFmtId="0" fontId="6" fillId="5" borderId="14" xfId="1" applyFont="1" applyFill="1" applyBorder="1" applyAlignment="1">
      <alignment vertical="center"/>
    </xf>
    <xf numFmtId="0" fontId="12" fillId="5" borderId="14" xfId="1" applyFont="1" applyFill="1" applyBorder="1" applyAlignment="1">
      <alignment vertical="center"/>
    </xf>
    <xf numFmtId="164" fontId="12" fillId="5" borderId="14" xfId="1" applyNumberFormat="1" applyFont="1" applyFill="1" applyBorder="1" applyAlignment="1">
      <alignment horizontal="center" vertical="center"/>
    </xf>
    <xf numFmtId="0" fontId="9" fillId="4" borderId="15" xfId="1" applyFont="1" applyFill="1" applyBorder="1" applyAlignment="1">
      <alignment horizontal="left" vertical="center"/>
    </xf>
    <xf numFmtId="0" fontId="10" fillId="4" borderId="16" xfId="1" applyFont="1" applyFill="1" applyBorder="1" applyAlignment="1">
      <alignment vertical="center"/>
    </xf>
    <xf numFmtId="3" fontId="10" fillId="4" borderId="16" xfId="1" applyNumberFormat="1" applyFont="1" applyFill="1" applyBorder="1" applyAlignment="1">
      <alignment horizontal="right" vertical="center"/>
    </xf>
    <xf numFmtId="3" fontId="4" fillId="0" borderId="0" xfId="1" applyNumberFormat="1" applyFont="1" applyAlignment="1">
      <alignment vertical="center"/>
    </xf>
    <xf numFmtId="0" fontId="10" fillId="0" borderId="17" xfId="1" applyFont="1" applyBorder="1" applyAlignment="1">
      <alignment vertical="center"/>
    </xf>
    <xf numFmtId="0" fontId="6" fillId="5" borderId="14" xfId="1" applyFont="1" applyFill="1" applyBorder="1" applyAlignment="1">
      <alignment horizontal="left" vertical="center"/>
    </xf>
    <xf numFmtId="0" fontId="10" fillId="5" borderId="14" xfId="1" applyFont="1" applyFill="1" applyBorder="1" applyAlignment="1">
      <alignment vertical="center"/>
    </xf>
    <xf numFmtId="3" fontId="13" fillId="5" borderId="14" xfId="1" applyNumberFormat="1" applyFont="1" applyFill="1" applyBorder="1" applyAlignment="1">
      <alignment horizontal="center" vertical="center"/>
    </xf>
    <xf numFmtId="0" fontId="9" fillId="4" borderId="18" xfId="1" applyFont="1" applyFill="1" applyBorder="1" applyAlignment="1">
      <alignment horizontal="left" vertical="center"/>
    </xf>
    <xf numFmtId="0" fontId="10" fillId="4" borderId="7" xfId="1" applyFont="1" applyFill="1" applyBorder="1" applyAlignment="1">
      <alignment vertical="center"/>
    </xf>
    <xf numFmtId="3" fontId="10" fillId="4" borderId="7" xfId="1" applyNumberFormat="1" applyFont="1" applyFill="1" applyBorder="1" applyAlignment="1">
      <alignment horizontal="right" vertical="center"/>
    </xf>
    <xf numFmtId="0" fontId="14" fillId="0" borderId="11" xfId="1" applyFont="1" applyBorder="1" applyAlignment="1">
      <alignment horizontal="left" vertical="center"/>
    </xf>
    <xf numFmtId="0" fontId="14" fillId="0" borderId="13" xfId="1" applyFont="1" applyBorder="1" applyAlignment="1">
      <alignment horizontal="left" vertical="center"/>
    </xf>
    <xf numFmtId="3" fontId="15" fillId="0" borderId="11" xfId="1" applyNumberFormat="1" applyFont="1" applyBorder="1" applyAlignment="1">
      <alignment horizontal="right" vertical="center"/>
    </xf>
    <xf numFmtId="3" fontId="10" fillId="4" borderId="19" xfId="1" applyNumberFormat="1" applyFont="1" applyFill="1" applyBorder="1" applyAlignment="1">
      <alignment horizontal="right" vertical="center"/>
    </xf>
    <xf numFmtId="3" fontId="15" fillId="0" borderId="11" xfId="1" applyNumberFormat="1" applyFont="1" applyBorder="1" applyAlignment="1">
      <alignment horizontal="center" vertical="center"/>
    </xf>
    <xf numFmtId="4" fontId="12" fillId="0" borderId="11" xfId="1" applyNumberFormat="1" applyFont="1" applyBorder="1" applyAlignment="1">
      <alignment horizontal="right" vertical="center"/>
    </xf>
    <xf numFmtId="0" fontId="14" fillId="0" borderId="0" xfId="1" applyFont="1" applyAlignment="1">
      <alignment horizontal="left" vertical="center"/>
    </xf>
    <xf numFmtId="0" fontId="12" fillId="0" borderId="20" xfId="1" applyFont="1" applyBorder="1" applyAlignment="1">
      <alignment vertical="center"/>
    </xf>
    <xf numFmtId="3" fontId="15" fillId="0" borderId="17" xfId="1" applyNumberFormat="1" applyFont="1" applyBorder="1" applyAlignment="1">
      <alignment horizontal="right" vertical="center"/>
    </xf>
    <xf numFmtId="0" fontId="9" fillId="4" borderId="5" xfId="1" applyFont="1" applyFill="1" applyBorder="1" applyAlignment="1">
      <alignment horizontal="left" vertical="center"/>
    </xf>
    <xf numFmtId="0" fontId="12" fillId="0" borderId="21" xfId="1" applyFont="1" applyBorder="1" applyAlignment="1">
      <alignment vertical="center"/>
    </xf>
    <xf numFmtId="0" fontId="16" fillId="0" borderId="0" xfId="1" applyFont="1" applyAlignment="1">
      <alignment vertical="center"/>
    </xf>
    <xf numFmtId="3" fontId="12" fillId="0" borderId="17" xfId="1" applyNumberFormat="1" applyFont="1" applyBorder="1" applyAlignment="1">
      <alignment horizontal="right" vertical="center"/>
    </xf>
    <xf numFmtId="0" fontId="9" fillId="4" borderId="22" xfId="1" applyFont="1" applyFill="1" applyBorder="1" applyAlignment="1">
      <alignment horizontal="left" vertical="center"/>
    </xf>
    <xf numFmtId="0" fontId="9" fillId="4" borderId="23" xfId="1" applyFont="1" applyFill="1" applyBorder="1" applyAlignment="1">
      <alignment horizontal="left" vertical="center"/>
    </xf>
    <xf numFmtId="0" fontId="5" fillId="0" borderId="24" xfId="1" applyFont="1" applyBorder="1" applyAlignment="1">
      <alignment horizontal="center" vertical="center"/>
    </xf>
    <xf numFmtId="0" fontId="10" fillId="0" borderId="20" xfId="1" applyFont="1" applyBorder="1" applyAlignment="1">
      <alignment vertical="center"/>
    </xf>
    <xf numFmtId="3" fontId="13" fillId="0" borderId="17" xfId="1" applyNumberFormat="1" applyFont="1" applyBorder="1" applyAlignment="1">
      <alignment horizontal="right" vertical="center"/>
    </xf>
    <xf numFmtId="0" fontId="5" fillId="0" borderId="25" xfId="1" applyFont="1" applyBorder="1" applyAlignment="1">
      <alignment horizontal="center" vertical="center"/>
    </xf>
    <xf numFmtId="0" fontId="16" fillId="0" borderId="0" xfId="1" applyFont="1" applyAlignment="1">
      <alignment horizontal="left" vertical="center"/>
    </xf>
    <xf numFmtId="0" fontId="12" fillId="0" borderId="2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8" fillId="4" borderId="7" xfId="1" applyNumberFormat="1" applyFont="1" applyFill="1" applyBorder="1" applyAlignment="1">
      <alignment horizontal="right" vertical="center"/>
    </xf>
    <xf numFmtId="3" fontId="9" fillId="4" borderId="7" xfId="1" applyNumberFormat="1" applyFont="1" applyFill="1" applyBorder="1" applyAlignment="1">
      <alignment horizontal="right" vertical="center"/>
    </xf>
  </cellXfs>
  <cellStyles count="2">
    <cellStyle name="Normal" xfId="0" builtinId="0"/>
    <cellStyle name="Normal 2" xfId="1" xr:uid="{73AC51DD-8432-4A6F-B597-DFEEBE1E0E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P\Population%20Office\Analysis%20CDB\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ators"/>
      <sheetName val="Table by district"/>
      <sheetName val="Template"/>
    </sheetNames>
    <sheetDataSet>
      <sheetData sheetId="0"/>
      <sheetData sheetId="1">
        <row r="6">
          <cell r="A6" t="str">
            <v>១. គ្រួសារ និងប្រជាជន</v>
          </cell>
        </row>
        <row r="7">
          <cell r="B7" t="str">
            <v>ចំនួនគ្រួសារសរុបក្នុងភូមិយកតាមសៀវភៅគ្រួសារ)</v>
          </cell>
          <cell r="D7">
            <v>110495</v>
          </cell>
          <cell r="E7">
            <v>15279</v>
          </cell>
          <cell r="F7">
            <v>19543</v>
          </cell>
          <cell r="G7">
            <v>18586</v>
          </cell>
          <cell r="H7">
            <v>11206</v>
          </cell>
          <cell r="I7">
            <v>25712</v>
          </cell>
          <cell r="J7">
            <v>8889</v>
          </cell>
          <cell r="K7">
            <v>11280</v>
          </cell>
        </row>
        <row r="8">
          <cell r="B8" t="str">
            <v>ចំនួនមនុស្សស្រីសរុប</v>
          </cell>
          <cell r="D8">
            <v>229619</v>
          </cell>
          <cell r="E8">
            <v>34321</v>
          </cell>
          <cell r="F8">
            <v>41764</v>
          </cell>
          <cell r="G8">
            <v>38453</v>
          </cell>
          <cell r="H8">
            <v>23574</v>
          </cell>
          <cell r="I8">
            <v>51367</v>
          </cell>
          <cell r="J8">
            <v>17691</v>
          </cell>
          <cell r="K8">
            <v>22449</v>
          </cell>
        </row>
        <row r="9">
          <cell r="B9" t="str">
            <v>ចំនួនមនុស្សប្រុសសរុប</v>
          </cell>
          <cell r="D9">
            <v>226201</v>
          </cell>
          <cell r="E9">
            <v>32571</v>
          </cell>
          <cell r="F9">
            <v>41731</v>
          </cell>
          <cell r="G9">
            <v>37080</v>
          </cell>
          <cell r="H9">
            <v>23249</v>
          </cell>
          <cell r="I9">
            <v>51722</v>
          </cell>
          <cell r="J9">
            <v>17085</v>
          </cell>
          <cell r="K9">
            <v>22763</v>
          </cell>
        </row>
        <row r="10">
          <cell r="B10" t="str">
            <v>ចំនួនគ្រួសារមានស្ដ្រីជាមេគ្រួសារ</v>
          </cell>
          <cell r="D10">
            <v>10502</v>
          </cell>
          <cell r="E10">
            <v>1945</v>
          </cell>
          <cell r="F10">
            <v>1705</v>
          </cell>
          <cell r="G10">
            <v>1891</v>
          </cell>
          <cell r="H10">
            <v>1022</v>
          </cell>
          <cell r="I10">
            <v>2200</v>
          </cell>
          <cell r="J10">
            <v>1014</v>
          </cell>
          <cell r="K10">
            <v>725</v>
          </cell>
        </row>
        <row r="11">
          <cell r="A11" t="str">
            <v>២. ស្ថិតិតាមក្រុមអាយុ</v>
          </cell>
        </row>
        <row r="12">
          <cell r="D12">
            <v>9277</v>
          </cell>
          <cell r="E12">
            <v>1217</v>
          </cell>
          <cell r="F12">
            <v>1887</v>
          </cell>
          <cell r="G12">
            <v>1311</v>
          </cell>
          <cell r="H12">
            <v>1178</v>
          </cell>
          <cell r="I12">
            <v>1990</v>
          </cell>
          <cell r="J12">
            <v>642</v>
          </cell>
          <cell r="K12">
            <v>1052</v>
          </cell>
        </row>
        <row r="13">
          <cell r="D13">
            <v>9219</v>
          </cell>
          <cell r="E13">
            <v>1339</v>
          </cell>
          <cell r="F13">
            <v>1953</v>
          </cell>
          <cell r="G13">
            <v>1304</v>
          </cell>
          <cell r="H13">
            <v>1166</v>
          </cell>
          <cell r="I13">
            <v>1842</v>
          </cell>
          <cell r="J13">
            <v>597</v>
          </cell>
          <cell r="K13">
            <v>1018</v>
          </cell>
        </row>
        <row r="14">
          <cell r="D14">
            <v>9724</v>
          </cell>
          <cell r="E14">
            <v>1334</v>
          </cell>
          <cell r="F14">
            <v>1899</v>
          </cell>
          <cell r="G14">
            <v>1519</v>
          </cell>
          <cell r="H14">
            <v>1057</v>
          </cell>
          <cell r="I14">
            <v>2275</v>
          </cell>
          <cell r="J14">
            <v>672</v>
          </cell>
          <cell r="K14">
            <v>968</v>
          </cell>
        </row>
        <row r="15">
          <cell r="D15">
            <v>9649</v>
          </cell>
          <cell r="E15">
            <v>1338</v>
          </cell>
          <cell r="F15">
            <v>1891</v>
          </cell>
          <cell r="G15">
            <v>1448</v>
          </cell>
          <cell r="H15">
            <v>1307</v>
          </cell>
          <cell r="I15">
            <v>2065</v>
          </cell>
          <cell r="J15">
            <v>678</v>
          </cell>
          <cell r="K15">
            <v>922</v>
          </cell>
        </row>
        <row r="16">
          <cell r="D16">
            <v>7275</v>
          </cell>
          <cell r="E16">
            <v>1086</v>
          </cell>
          <cell r="F16">
            <v>1386</v>
          </cell>
          <cell r="G16">
            <v>1171</v>
          </cell>
          <cell r="H16">
            <v>712</v>
          </cell>
          <cell r="I16">
            <v>1685</v>
          </cell>
          <cell r="J16">
            <v>584</v>
          </cell>
          <cell r="K16">
            <v>651</v>
          </cell>
        </row>
        <row r="17">
          <cell r="D17">
            <v>6999</v>
          </cell>
          <cell r="E17">
            <v>1032</v>
          </cell>
          <cell r="F17">
            <v>1307</v>
          </cell>
          <cell r="G17">
            <v>1213</v>
          </cell>
          <cell r="H17">
            <v>661</v>
          </cell>
          <cell r="I17">
            <v>1558</v>
          </cell>
          <cell r="J17">
            <v>575</v>
          </cell>
          <cell r="K17">
            <v>653</v>
          </cell>
        </row>
        <row r="18">
          <cell r="D18">
            <v>7928</v>
          </cell>
          <cell r="E18">
            <v>1106</v>
          </cell>
          <cell r="F18">
            <v>1479</v>
          </cell>
          <cell r="G18">
            <v>1363</v>
          </cell>
          <cell r="H18">
            <v>752</v>
          </cell>
          <cell r="I18">
            <v>1807</v>
          </cell>
          <cell r="J18">
            <v>605</v>
          </cell>
          <cell r="K18">
            <v>816</v>
          </cell>
        </row>
        <row r="19">
          <cell r="D19">
            <v>7770</v>
          </cell>
          <cell r="E19">
            <v>1117</v>
          </cell>
          <cell r="F19">
            <v>1378</v>
          </cell>
          <cell r="G19">
            <v>1409</v>
          </cell>
          <cell r="H19">
            <v>674</v>
          </cell>
          <cell r="I19">
            <v>1801</v>
          </cell>
          <cell r="J19">
            <v>630</v>
          </cell>
          <cell r="K19">
            <v>761</v>
          </cell>
        </row>
        <row r="20">
          <cell r="D20">
            <v>21739</v>
          </cell>
          <cell r="E20">
            <v>3102</v>
          </cell>
          <cell r="F20">
            <v>4122</v>
          </cell>
          <cell r="G20">
            <v>3166</v>
          </cell>
          <cell r="H20">
            <v>2351</v>
          </cell>
          <cell r="I20">
            <v>5139</v>
          </cell>
          <cell r="J20">
            <v>1515</v>
          </cell>
          <cell r="K20">
            <v>2344</v>
          </cell>
        </row>
        <row r="21">
          <cell r="D21">
            <v>21347</v>
          </cell>
          <cell r="E21">
            <v>3064</v>
          </cell>
          <cell r="F21">
            <v>4156</v>
          </cell>
          <cell r="G21">
            <v>3263</v>
          </cell>
          <cell r="H21">
            <v>2263</v>
          </cell>
          <cell r="I21">
            <v>4758</v>
          </cell>
          <cell r="J21">
            <v>1597</v>
          </cell>
          <cell r="K21">
            <v>2246</v>
          </cell>
        </row>
        <row r="22">
          <cell r="D22">
            <v>16223</v>
          </cell>
          <cell r="E22">
            <v>2546</v>
          </cell>
          <cell r="F22">
            <v>2970</v>
          </cell>
          <cell r="G22">
            <v>2551</v>
          </cell>
          <cell r="H22">
            <v>1621</v>
          </cell>
          <cell r="I22">
            <v>3810</v>
          </cell>
          <cell r="J22">
            <v>1097</v>
          </cell>
          <cell r="K22">
            <v>1628</v>
          </cell>
        </row>
        <row r="23">
          <cell r="D23">
            <v>15444</v>
          </cell>
          <cell r="E23">
            <v>2546</v>
          </cell>
          <cell r="F23">
            <v>2788</v>
          </cell>
          <cell r="G23">
            <v>2522</v>
          </cell>
          <cell r="H23">
            <v>1565</v>
          </cell>
          <cell r="I23">
            <v>3434</v>
          </cell>
          <cell r="J23">
            <v>1072</v>
          </cell>
          <cell r="K23">
            <v>1517</v>
          </cell>
        </row>
        <row r="24">
          <cell r="D24">
            <v>15897</v>
          </cell>
          <cell r="E24">
            <v>2336</v>
          </cell>
          <cell r="F24">
            <v>2950</v>
          </cell>
          <cell r="G24">
            <v>2644</v>
          </cell>
          <cell r="H24">
            <v>1587</v>
          </cell>
          <cell r="I24">
            <v>3644</v>
          </cell>
          <cell r="J24">
            <v>1127</v>
          </cell>
          <cell r="K24">
            <v>1609</v>
          </cell>
        </row>
        <row r="25">
          <cell r="D25">
            <v>15794</v>
          </cell>
          <cell r="E25">
            <v>2508</v>
          </cell>
          <cell r="F25">
            <v>2888</v>
          </cell>
          <cell r="G25">
            <v>2584</v>
          </cell>
          <cell r="H25">
            <v>1736</v>
          </cell>
          <cell r="I25">
            <v>3396</v>
          </cell>
          <cell r="J25">
            <v>1057</v>
          </cell>
          <cell r="K25">
            <v>1625</v>
          </cell>
        </row>
        <row r="26">
          <cell r="D26">
            <v>26680</v>
          </cell>
          <cell r="E26">
            <v>3876</v>
          </cell>
          <cell r="F26">
            <v>4886</v>
          </cell>
          <cell r="G26">
            <v>4068</v>
          </cell>
          <cell r="H26">
            <v>2826</v>
          </cell>
          <cell r="I26">
            <v>6154</v>
          </cell>
          <cell r="J26">
            <v>2051</v>
          </cell>
          <cell r="K26">
            <v>2819</v>
          </cell>
        </row>
        <row r="27">
          <cell r="D27">
            <v>27108</v>
          </cell>
          <cell r="E27">
            <v>3993</v>
          </cell>
          <cell r="F27">
            <v>4996</v>
          </cell>
          <cell r="G27">
            <v>4195</v>
          </cell>
          <cell r="H27">
            <v>2798</v>
          </cell>
          <cell r="I27">
            <v>6321</v>
          </cell>
          <cell r="J27">
            <v>1972</v>
          </cell>
          <cell r="K27">
            <v>2833</v>
          </cell>
        </row>
        <row r="28">
          <cell r="D28">
            <v>35311</v>
          </cell>
          <cell r="E28">
            <v>5023</v>
          </cell>
          <cell r="F28">
            <v>6470</v>
          </cell>
          <cell r="G28">
            <v>5331</v>
          </cell>
          <cell r="H28">
            <v>3729</v>
          </cell>
          <cell r="I28">
            <v>8451</v>
          </cell>
          <cell r="J28">
            <v>2653</v>
          </cell>
          <cell r="K28">
            <v>3654</v>
          </cell>
        </row>
        <row r="29">
          <cell r="D29">
            <v>35344</v>
          </cell>
          <cell r="E29">
            <v>5076</v>
          </cell>
          <cell r="F29">
            <v>6257</v>
          </cell>
          <cell r="G29">
            <v>5473</v>
          </cell>
          <cell r="H29">
            <v>3547</v>
          </cell>
          <cell r="I29">
            <v>8663</v>
          </cell>
          <cell r="J29">
            <v>2805</v>
          </cell>
          <cell r="K29">
            <v>3523</v>
          </cell>
        </row>
        <row r="30">
          <cell r="D30">
            <v>30179</v>
          </cell>
          <cell r="E30">
            <v>4252</v>
          </cell>
          <cell r="F30">
            <v>5275</v>
          </cell>
          <cell r="G30">
            <v>5277</v>
          </cell>
          <cell r="H30">
            <v>3077</v>
          </cell>
          <cell r="I30">
            <v>6994</v>
          </cell>
          <cell r="J30">
            <v>2405</v>
          </cell>
          <cell r="K30">
            <v>2899</v>
          </cell>
        </row>
        <row r="31">
          <cell r="D31">
            <v>31145</v>
          </cell>
          <cell r="E31">
            <v>4613</v>
          </cell>
          <cell r="F31">
            <v>5349</v>
          </cell>
          <cell r="G31">
            <v>5302</v>
          </cell>
          <cell r="H31">
            <v>3057</v>
          </cell>
          <cell r="I31">
            <v>7247</v>
          </cell>
          <cell r="J31">
            <v>2597</v>
          </cell>
          <cell r="K31">
            <v>2980</v>
          </cell>
        </row>
        <row r="32">
          <cell r="D32">
            <v>28208</v>
          </cell>
          <cell r="E32">
            <v>3987</v>
          </cell>
          <cell r="F32">
            <v>5053</v>
          </cell>
          <cell r="G32">
            <v>5125</v>
          </cell>
          <cell r="H32">
            <v>2609</v>
          </cell>
          <cell r="I32">
            <v>6406</v>
          </cell>
          <cell r="J32">
            <v>2235</v>
          </cell>
          <cell r="K32">
            <v>2793</v>
          </cell>
        </row>
        <row r="33">
          <cell r="D33">
            <v>29586</v>
          </cell>
          <cell r="E33">
            <v>4321</v>
          </cell>
          <cell r="F33">
            <v>5155</v>
          </cell>
          <cell r="G33">
            <v>5558</v>
          </cell>
          <cell r="H33">
            <v>2669</v>
          </cell>
          <cell r="I33">
            <v>6641</v>
          </cell>
          <cell r="J33">
            <v>2382</v>
          </cell>
          <cell r="K33">
            <v>2860</v>
          </cell>
        </row>
        <row r="34">
          <cell r="D34">
            <v>17760</v>
          </cell>
          <cell r="E34">
            <v>2706</v>
          </cell>
          <cell r="F34">
            <v>3354</v>
          </cell>
          <cell r="G34">
            <v>3554</v>
          </cell>
          <cell r="H34">
            <v>1750</v>
          </cell>
          <cell r="I34">
            <v>3367</v>
          </cell>
          <cell r="J34">
            <v>1499</v>
          </cell>
          <cell r="K34">
            <v>1530</v>
          </cell>
        </row>
        <row r="35">
          <cell r="D35">
            <v>20214</v>
          </cell>
          <cell r="E35">
            <v>3374</v>
          </cell>
          <cell r="F35">
            <v>3646</v>
          </cell>
          <cell r="G35">
            <v>4182</v>
          </cell>
          <cell r="H35">
            <v>2131</v>
          </cell>
          <cell r="I35">
            <v>3641</v>
          </cell>
          <cell r="J35">
            <v>1729</v>
          </cell>
          <cell r="K35">
            <v>1511</v>
          </cell>
        </row>
        <row r="36">
          <cell r="A36" t="str">
            <v>៣. ការអប់រំតាមក្រុមអាយុ</v>
          </cell>
        </row>
        <row r="37">
          <cell r="D37">
            <v>3082</v>
          </cell>
          <cell r="E37">
            <v>340</v>
          </cell>
          <cell r="F37">
            <v>563</v>
          </cell>
          <cell r="G37">
            <v>408</v>
          </cell>
          <cell r="H37">
            <v>266</v>
          </cell>
          <cell r="I37">
            <v>765</v>
          </cell>
          <cell r="J37">
            <v>452</v>
          </cell>
          <cell r="K37">
            <v>288</v>
          </cell>
        </row>
        <row r="38">
          <cell r="D38">
            <v>2966</v>
          </cell>
          <cell r="E38">
            <v>371</v>
          </cell>
          <cell r="F38">
            <v>545</v>
          </cell>
          <cell r="G38">
            <v>443</v>
          </cell>
          <cell r="H38">
            <v>280</v>
          </cell>
          <cell r="I38">
            <v>674</v>
          </cell>
          <cell r="J38">
            <v>446</v>
          </cell>
          <cell r="K38">
            <v>207</v>
          </cell>
        </row>
        <row r="39">
          <cell r="D39">
            <v>3988</v>
          </cell>
          <cell r="E39">
            <v>524</v>
          </cell>
          <cell r="F39">
            <v>769</v>
          </cell>
          <cell r="G39">
            <v>629</v>
          </cell>
          <cell r="H39">
            <v>453</v>
          </cell>
          <cell r="I39">
            <v>785</v>
          </cell>
          <cell r="J39">
            <v>533</v>
          </cell>
          <cell r="K39">
            <v>295</v>
          </cell>
        </row>
        <row r="40">
          <cell r="D40">
            <v>3864</v>
          </cell>
          <cell r="E40">
            <v>523</v>
          </cell>
          <cell r="F40">
            <v>690</v>
          </cell>
          <cell r="G40">
            <v>643</v>
          </cell>
          <cell r="H40">
            <v>445</v>
          </cell>
          <cell r="I40">
            <v>763</v>
          </cell>
          <cell r="J40">
            <v>464</v>
          </cell>
          <cell r="K40">
            <v>336</v>
          </cell>
        </row>
        <row r="41">
          <cell r="D41">
            <v>682</v>
          </cell>
          <cell r="E41">
            <v>15</v>
          </cell>
          <cell r="F41">
            <v>95</v>
          </cell>
          <cell r="G41">
            <v>150</v>
          </cell>
          <cell r="H41">
            <v>73</v>
          </cell>
          <cell r="I41">
            <v>219</v>
          </cell>
          <cell r="J41">
            <v>50</v>
          </cell>
          <cell r="K41">
            <v>80</v>
          </cell>
        </row>
        <row r="42">
          <cell r="D42">
            <v>712</v>
          </cell>
          <cell r="E42">
            <v>25</v>
          </cell>
          <cell r="F42">
            <v>69</v>
          </cell>
          <cell r="G42">
            <v>160</v>
          </cell>
          <cell r="H42">
            <v>55</v>
          </cell>
          <cell r="I42">
            <v>187</v>
          </cell>
          <cell r="J42">
            <v>138</v>
          </cell>
          <cell r="K42">
            <v>78</v>
          </cell>
        </row>
        <row r="43">
          <cell r="D43">
            <v>6114</v>
          </cell>
          <cell r="E43">
            <v>999</v>
          </cell>
          <cell r="F43">
            <v>1072</v>
          </cell>
          <cell r="G43">
            <v>1095</v>
          </cell>
          <cell r="H43">
            <v>512</v>
          </cell>
          <cell r="I43">
            <v>1392</v>
          </cell>
          <cell r="J43">
            <v>537</v>
          </cell>
          <cell r="K43">
            <v>507</v>
          </cell>
        </row>
        <row r="44">
          <cell r="D44">
            <v>5916</v>
          </cell>
          <cell r="E44">
            <v>991</v>
          </cell>
          <cell r="F44">
            <v>987</v>
          </cell>
          <cell r="G44">
            <v>1108</v>
          </cell>
          <cell r="H44">
            <v>525</v>
          </cell>
          <cell r="I44">
            <v>1288</v>
          </cell>
          <cell r="J44">
            <v>482</v>
          </cell>
          <cell r="K44">
            <v>535</v>
          </cell>
        </row>
        <row r="45">
          <cell r="D45">
            <v>18346</v>
          </cell>
          <cell r="E45">
            <v>2807</v>
          </cell>
          <cell r="F45">
            <v>3450</v>
          </cell>
          <cell r="G45">
            <v>2788</v>
          </cell>
          <cell r="H45">
            <v>1875</v>
          </cell>
          <cell r="I45">
            <v>4460</v>
          </cell>
          <cell r="J45">
            <v>1476</v>
          </cell>
          <cell r="K45">
            <v>1490</v>
          </cell>
        </row>
        <row r="46">
          <cell r="D46">
            <v>17615</v>
          </cell>
          <cell r="E46">
            <v>2737</v>
          </cell>
          <cell r="F46">
            <v>3316</v>
          </cell>
          <cell r="G46">
            <v>2772</v>
          </cell>
          <cell r="H46">
            <v>1763</v>
          </cell>
          <cell r="I46">
            <v>4101</v>
          </cell>
          <cell r="J46">
            <v>1534</v>
          </cell>
          <cell r="K46">
            <v>1392</v>
          </cell>
        </row>
        <row r="47">
          <cell r="D47">
            <v>6912</v>
          </cell>
          <cell r="E47">
            <v>933</v>
          </cell>
          <cell r="F47">
            <v>1173</v>
          </cell>
          <cell r="G47">
            <v>1216</v>
          </cell>
          <cell r="H47">
            <v>598</v>
          </cell>
          <cell r="I47">
            <v>1985</v>
          </cell>
          <cell r="J47">
            <v>277</v>
          </cell>
          <cell r="K47">
            <v>730</v>
          </cell>
        </row>
        <row r="48">
          <cell r="D48">
            <v>6506</v>
          </cell>
          <cell r="E48">
            <v>1011</v>
          </cell>
          <cell r="F48">
            <v>1082</v>
          </cell>
          <cell r="G48">
            <v>1113</v>
          </cell>
          <cell r="H48">
            <v>570</v>
          </cell>
          <cell r="I48">
            <v>1789</v>
          </cell>
          <cell r="J48">
            <v>255</v>
          </cell>
          <cell r="K48">
            <v>686</v>
          </cell>
        </row>
        <row r="49">
          <cell r="D49">
            <v>6131</v>
          </cell>
          <cell r="E49">
            <v>1321</v>
          </cell>
          <cell r="F49">
            <v>1051</v>
          </cell>
          <cell r="G49">
            <v>1035</v>
          </cell>
          <cell r="H49">
            <v>490</v>
          </cell>
          <cell r="I49">
            <v>1187</v>
          </cell>
          <cell r="J49">
            <v>754</v>
          </cell>
          <cell r="K49">
            <v>293</v>
          </cell>
        </row>
        <row r="50">
          <cell r="D50">
            <v>6003</v>
          </cell>
          <cell r="E50">
            <v>1258</v>
          </cell>
          <cell r="F50">
            <v>987</v>
          </cell>
          <cell r="G50">
            <v>1068</v>
          </cell>
          <cell r="H50">
            <v>557</v>
          </cell>
          <cell r="I50">
            <v>1014</v>
          </cell>
          <cell r="J50">
            <v>778</v>
          </cell>
          <cell r="K50">
            <v>341</v>
          </cell>
        </row>
        <row r="51">
          <cell r="D51">
            <v>2225</v>
          </cell>
          <cell r="E51">
            <v>171</v>
          </cell>
          <cell r="F51">
            <v>444</v>
          </cell>
          <cell r="G51">
            <v>418</v>
          </cell>
          <cell r="H51">
            <v>181</v>
          </cell>
          <cell r="I51">
            <v>613</v>
          </cell>
          <cell r="J51">
            <v>81</v>
          </cell>
          <cell r="K51">
            <v>317</v>
          </cell>
        </row>
        <row r="52">
          <cell r="D52">
            <v>2389</v>
          </cell>
          <cell r="E52">
            <v>195</v>
          </cell>
          <cell r="F52">
            <v>537</v>
          </cell>
          <cell r="G52">
            <v>434</v>
          </cell>
          <cell r="H52">
            <v>224</v>
          </cell>
          <cell r="I52">
            <v>661</v>
          </cell>
          <cell r="J52">
            <v>59</v>
          </cell>
          <cell r="K52">
            <v>279</v>
          </cell>
        </row>
        <row r="53">
          <cell r="D53">
            <v>5105</v>
          </cell>
          <cell r="E53">
            <v>852</v>
          </cell>
          <cell r="F53">
            <v>716</v>
          </cell>
          <cell r="G53">
            <v>1008</v>
          </cell>
          <cell r="H53">
            <v>448</v>
          </cell>
          <cell r="I53">
            <v>1384</v>
          </cell>
          <cell r="J53">
            <v>364</v>
          </cell>
          <cell r="K53">
            <v>333</v>
          </cell>
        </row>
        <row r="54">
          <cell r="D54">
            <v>4803</v>
          </cell>
          <cell r="E54">
            <v>999</v>
          </cell>
          <cell r="F54">
            <v>718</v>
          </cell>
          <cell r="G54">
            <v>833</v>
          </cell>
          <cell r="H54">
            <v>411</v>
          </cell>
          <cell r="I54">
            <v>1207</v>
          </cell>
          <cell r="J54">
            <v>348</v>
          </cell>
          <cell r="K54">
            <v>287</v>
          </cell>
        </row>
        <row r="55">
          <cell r="D55">
            <v>3215</v>
          </cell>
          <cell r="E55">
            <v>671</v>
          </cell>
          <cell r="F55">
            <v>564</v>
          </cell>
          <cell r="G55">
            <v>516</v>
          </cell>
          <cell r="H55">
            <v>213</v>
          </cell>
          <cell r="I55">
            <v>565</v>
          </cell>
          <cell r="J55">
            <v>532</v>
          </cell>
          <cell r="K55">
            <v>154</v>
          </cell>
        </row>
        <row r="56">
          <cell r="D56">
            <v>3508</v>
          </cell>
          <cell r="E56">
            <v>674</v>
          </cell>
          <cell r="F56">
            <v>572</v>
          </cell>
          <cell r="G56">
            <v>614</v>
          </cell>
          <cell r="H56">
            <v>259</v>
          </cell>
          <cell r="I56">
            <v>596</v>
          </cell>
          <cell r="J56">
            <v>623</v>
          </cell>
          <cell r="K56">
            <v>170</v>
          </cell>
        </row>
        <row r="57">
          <cell r="D57">
            <v>3189</v>
          </cell>
          <cell r="E57">
            <v>647</v>
          </cell>
          <cell r="F57">
            <v>356</v>
          </cell>
          <cell r="G57">
            <v>509</v>
          </cell>
          <cell r="H57">
            <v>244</v>
          </cell>
          <cell r="I57">
            <v>579</v>
          </cell>
          <cell r="J57">
            <v>752</v>
          </cell>
          <cell r="K57">
            <v>102</v>
          </cell>
        </row>
        <row r="58">
          <cell r="D58">
            <v>3671</v>
          </cell>
          <cell r="E58">
            <v>682</v>
          </cell>
          <cell r="F58">
            <v>427</v>
          </cell>
          <cell r="G58">
            <v>537</v>
          </cell>
          <cell r="H58">
            <v>223</v>
          </cell>
          <cell r="I58">
            <v>724</v>
          </cell>
          <cell r="J58">
            <v>829</v>
          </cell>
          <cell r="K58">
            <v>249</v>
          </cell>
        </row>
        <row r="59">
          <cell r="D59">
            <v>1972</v>
          </cell>
          <cell r="E59">
            <v>422</v>
          </cell>
          <cell r="F59">
            <v>286</v>
          </cell>
          <cell r="G59">
            <v>321</v>
          </cell>
          <cell r="H59">
            <v>145</v>
          </cell>
          <cell r="I59">
            <v>237</v>
          </cell>
          <cell r="J59">
            <v>514</v>
          </cell>
          <cell r="K59">
            <v>47</v>
          </cell>
        </row>
        <row r="60">
          <cell r="D60">
            <v>1938</v>
          </cell>
          <cell r="E60">
            <v>433</v>
          </cell>
          <cell r="F60">
            <v>271</v>
          </cell>
          <cell r="G60">
            <v>332</v>
          </cell>
          <cell r="H60">
            <v>139</v>
          </cell>
          <cell r="I60">
            <v>253</v>
          </cell>
          <cell r="J60">
            <v>445</v>
          </cell>
          <cell r="K60">
            <v>65</v>
          </cell>
        </row>
        <row r="61">
          <cell r="D61">
            <v>971</v>
          </cell>
          <cell r="E61">
            <v>250</v>
          </cell>
          <cell r="F61">
            <v>51</v>
          </cell>
          <cell r="G61">
            <v>204</v>
          </cell>
          <cell r="H61">
            <v>135</v>
          </cell>
          <cell r="I61">
            <v>57</v>
          </cell>
          <cell r="J61">
            <v>271</v>
          </cell>
          <cell r="K61">
            <v>3</v>
          </cell>
        </row>
        <row r="62">
          <cell r="D62">
            <v>1135</v>
          </cell>
          <cell r="E62">
            <v>165</v>
          </cell>
          <cell r="F62">
            <v>73</v>
          </cell>
          <cell r="G62">
            <v>249</v>
          </cell>
          <cell r="H62">
            <v>139</v>
          </cell>
          <cell r="I62">
            <v>71</v>
          </cell>
          <cell r="J62">
            <v>435</v>
          </cell>
          <cell r="K62">
            <v>3</v>
          </cell>
        </row>
        <row r="63">
          <cell r="D63">
            <v>576</v>
          </cell>
          <cell r="E63">
            <v>94</v>
          </cell>
          <cell r="F63">
            <v>93</v>
          </cell>
          <cell r="G63">
            <v>96</v>
          </cell>
          <cell r="H63">
            <v>78</v>
          </cell>
          <cell r="I63">
            <v>52</v>
          </cell>
          <cell r="J63">
            <v>162</v>
          </cell>
          <cell r="K63">
            <v>1</v>
          </cell>
        </row>
        <row r="64">
          <cell r="D64">
            <v>529</v>
          </cell>
          <cell r="E64">
            <v>111</v>
          </cell>
          <cell r="F64">
            <v>77</v>
          </cell>
          <cell r="G64">
            <v>78</v>
          </cell>
          <cell r="H64">
            <v>65</v>
          </cell>
          <cell r="I64">
            <v>54</v>
          </cell>
          <cell r="J64">
            <v>144</v>
          </cell>
          <cell r="K64">
            <v>0</v>
          </cell>
        </row>
        <row r="65">
          <cell r="D65">
            <v>355</v>
          </cell>
          <cell r="E65">
            <v>70</v>
          </cell>
          <cell r="F65">
            <v>34</v>
          </cell>
          <cell r="G65">
            <v>69</v>
          </cell>
          <cell r="H65">
            <v>58</v>
          </cell>
          <cell r="I65">
            <v>11</v>
          </cell>
          <cell r="J65">
            <v>113</v>
          </cell>
          <cell r="K65">
            <v>0</v>
          </cell>
        </row>
        <row r="66">
          <cell r="D66">
            <v>506</v>
          </cell>
          <cell r="E66">
            <v>125</v>
          </cell>
          <cell r="F66">
            <v>64</v>
          </cell>
          <cell r="G66">
            <v>86</v>
          </cell>
          <cell r="H66">
            <v>77</v>
          </cell>
          <cell r="I66">
            <v>20</v>
          </cell>
          <cell r="J66">
            <v>134</v>
          </cell>
          <cell r="K66">
            <v>0</v>
          </cell>
        </row>
        <row r="67">
          <cell r="A67" t="str">
            <v>៤. អ្នកមិនចេះអក្សរតាមក្រុមអាយុ</v>
          </cell>
        </row>
        <row r="68">
          <cell r="B68" t="str">
            <v>បុរសមិនចេះអក្សរពី១៥ទៅ១៧ឆ្នាំ</v>
          </cell>
          <cell r="D68">
            <v>472</v>
          </cell>
          <cell r="E68">
            <v>64</v>
          </cell>
          <cell r="F68">
            <v>126</v>
          </cell>
          <cell r="G68">
            <v>48</v>
          </cell>
          <cell r="H68">
            <v>39</v>
          </cell>
          <cell r="I68">
            <v>81</v>
          </cell>
          <cell r="J68">
            <v>3</v>
          </cell>
          <cell r="K68">
            <v>111</v>
          </cell>
        </row>
        <row r="69">
          <cell r="B69" t="str">
            <v>ស្ដ្រីមិនចេះអក្សរពី១៥ទៅ១៧ឆ្នាំ</v>
          </cell>
          <cell r="D69">
            <v>406</v>
          </cell>
          <cell r="E69">
            <v>49</v>
          </cell>
          <cell r="F69">
            <v>89</v>
          </cell>
          <cell r="G69">
            <v>34</v>
          </cell>
          <cell r="H69">
            <v>43</v>
          </cell>
          <cell r="I69">
            <v>76</v>
          </cell>
          <cell r="J69">
            <v>4</v>
          </cell>
          <cell r="K69">
            <v>111</v>
          </cell>
        </row>
        <row r="70">
          <cell r="B70" t="str">
            <v>ចំនួនអ្នកមិនចេះអក្សរប្រុសអាយុពី ១៨-២៤ ឆ្នាំ</v>
          </cell>
          <cell r="D70">
            <v>1311</v>
          </cell>
          <cell r="E70">
            <v>142</v>
          </cell>
          <cell r="F70">
            <v>238</v>
          </cell>
          <cell r="G70">
            <v>93</v>
          </cell>
          <cell r="H70">
            <v>61</v>
          </cell>
          <cell r="I70">
            <v>327</v>
          </cell>
          <cell r="J70">
            <v>13</v>
          </cell>
          <cell r="K70">
            <v>437</v>
          </cell>
        </row>
        <row r="71">
          <cell r="B71" t="str">
            <v>ចំនួនអ្នកមិនចេះអក្សរស្រីអាយុពី ១៨-២៤ ឆ្នាំ</v>
          </cell>
          <cell r="D71">
            <v>1177</v>
          </cell>
          <cell r="E71">
            <v>121</v>
          </cell>
          <cell r="F71">
            <v>164</v>
          </cell>
          <cell r="G71">
            <v>68</v>
          </cell>
          <cell r="H71">
            <v>143</v>
          </cell>
          <cell r="I71">
            <v>261</v>
          </cell>
          <cell r="J71">
            <v>23</v>
          </cell>
          <cell r="K71">
            <v>397</v>
          </cell>
        </row>
        <row r="72">
          <cell r="B72" t="str">
            <v>ចំនួនអ្នកមិនចេះអក្សរប្រុសអាយុពី ២៥-៣៥ ឆ្នាំ</v>
          </cell>
          <cell r="D72">
            <v>2222</v>
          </cell>
          <cell r="E72">
            <v>283</v>
          </cell>
          <cell r="F72">
            <v>369</v>
          </cell>
          <cell r="G72">
            <v>168</v>
          </cell>
          <cell r="H72">
            <v>226</v>
          </cell>
          <cell r="I72">
            <v>453</v>
          </cell>
          <cell r="J72">
            <v>18</v>
          </cell>
          <cell r="K72">
            <v>705</v>
          </cell>
        </row>
        <row r="73">
          <cell r="B73" t="str">
            <v>ចំនួនអ្នកមិនចេះអក្សរស្រីអាយុពី ២៥-៣៥ ឆ្នាំ</v>
          </cell>
          <cell r="D73">
            <v>1922</v>
          </cell>
          <cell r="E73">
            <v>171</v>
          </cell>
          <cell r="F73">
            <v>308</v>
          </cell>
          <cell r="G73">
            <v>129</v>
          </cell>
          <cell r="H73">
            <v>181</v>
          </cell>
          <cell r="I73">
            <v>491</v>
          </cell>
          <cell r="J73">
            <v>38</v>
          </cell>
          <cell r="K73">
            <v>604</v>
          </cell>
        </row>
        <row r="74">
          <cell r="B74" t="str">
            <v>ចំនួនអ្នកមិនចេះអក្សរប្រុសអាយុពី ៣៦-៤៥ ឆ្នាំ</v>
          </cell>
          <cell r="D74">
            <v>2649</v>
          </cell>
          <cell r="E74">
            <v>326</v>
          </cell>
          <cell r="F74">
            <v>516</v>
          </cell>
          <cell r="G74">
            <v>254</v>
          </cell>
          <cell r="H74">
            <v>223</v>
          </cell>
          <cell r="I74">
            <v>691</v>
          </cell>
          <cell r="J74">
            <v>35</v>
          </cell>
          <cell r="K74">
            <v>604</v>
          </cell>
        </row>
        <row r="75">
          <cell r="B75" t="str">
            <v>ចំនួនអ្នកមិនចេះអក្សរស្រីអាយុពី ៣៦-៤៥ ឆ្នាំ</v>
          </cell>
          <cell r="D75">
            <v>2795</v>
          </cell>
          <cell r="E75">
            <v>378</v>
          </cell>
          <cell r="F75">
            <v>608</v>
          </cell>
          <cell r="G75">
            <v>218</v>
          </cell>
          <cell r="H75">
            <v>243</v>
          </cell>
          <cell r="I75">
            <v>498</v>
          </cell>
          <cell r="J75">
            <v>32</v>
          </cell>
          <cell r="K75">
            <v>818</v>
          </cell>
        </row>
        <row r="76">
          <cell r="A76" t="str">
            <v>៥. ចំងាយផ្លូវពីភូមិទៅសាលា</v>
          </cell>
        </row>
        <row r="77">
          <cell r="B77" t="str">
            <v>ចំងាយមធ្យមពីចំនុចកណ្ដាលភូមិទៅសាលាបឋមសិក្សា</v>
          </cell>
          <cell r="D77">
            <v>1.1299999999999999</v>
          </cell>
          <cell r="E77">
            <v>0.7</v>
          </cell>
          <cell r="F77">
            <v>0.97</v>
          </cell>
          <cell r="G77">
            <v>1.24</v>
          </cell>
          <cell r="H77">
            <v>1.75</v>
          </cell>
          <cell r="I77">
            <v>1.58</v>
          </cell>
          <cell r="J77">
            <v>0.46</v>
          </cell>
          <cell r="K77">
            <v>1.2</v>
          </cell>
        </row>
        <row r="78">
          <cell r="B78" t="str">
            <v>ចំងាយមធ្យមពីចំនុចកណ្ដាលភូមិទៅសាលាអនុវិទ្យាល័យ</v>
          </cell>
          <cell r="D78">
            <v>7.24</v>
          </cell>
          <cell r="E78">
            <v>4.96</v>
          </cell>
          <cell r="F78">
            <v>4.91</v>
          </cell>
          <cell r="G78">
            <v>8.3800000000000008</v>
          </cell>
          <cell r="H78">
            <v>8.24</v>
          </cell>
          <cell r="I78">
            <v>10.57</v>
          </cell>
          <cell r="J78">
            <v>0.98</v>
          </cell>
          <cell r="K78">
            <v>12.65</v>
          </cell>
        </row>
        <row r="79">
          <cell r="B79" t="str">
            <v>ចំងាយមធ្យមពីចំនុចកណ្ដាលភូមិទៅសាលាវិទ្យាល័យ</v>
          </cell>
          <cell r="D79">
            <v>19.350000000000001</v>
          </cell>
          <cell r="E79">
            <v>18.77</v>
          </cell>
          <cell r="F79">
            <v>12.16</v>
          </cell>
          <cell r="G79">
            <v>12.17</v>
          </cell>
          <cell r="H79">
            <v>12.13</v>
          </cell>
          <cell r="I79">
            <v>17.489999999999998</v>
          </cell>
          <cell r="J79">
            <v>1.93</v>
          </cell>
          <cell r="K79">
            <v>60.8</v>
          </cell>
        </row>
        <row r="80">
          <cell r="A80" t="str">
            <v>៦. ស្ថិតិមុខរបរជាចំបង</v>
          </cell>
        </row>
        <row r="89">
          <cell r="D89">
            <v>80467</v>
          </cell>
          <cell r="E89">
            <v>11537</v>
          </cell>
          <cell r="F89">
            <v>16921</v>
          </cell>
          <cell r="G89">
            <v>14524</v>
          </cell>
          <cell r="H89">
            <v>7522</v>
          </cell>
          <cell r="I89">
            <v>18830</v>
          </cell>
          <cell r="J89">
            <v>2435</v>
          </cell>
          <cell r="K89">
            <v>8698</v>
          </cell>
        </row>
        <row r="90">
          <cell r="D90">
            <v>72308</v>
          </cell>
          <cell r="E90">
            <v>10994</v>
          </cell>
          <cell r="F90">
            <v>14724</v>
          </cell>
          <cell r="G90">
            <v>12115</v>
          </cell>
          <cell r="H90">
            <v>6859</v>
          </cell>
          <cell r="I90">
            <v>17721</v>
          </cell>
          <cell r="J90">
            <v>1849</v>
          </cell>
          <cell r="K90">
            <v>8046</v>
          </cell>
        </row>
        <row r="97">
          <cell r="D97">
            <v>4977</v>
          </cell>
          <cell r="E97">
            <v>684</v>
          </cell>
          <cell r="F97">
            <v>536</v>
          </cell>
          <cell r="G97">
            <v>989</v>
          </cell>
          <cell r="H97">
            <v>912</v>
          </cell>
          <cell r="I97">
            <v>320</v>
          </cell>
          <cell r="J97">
            <v>450</v>
          </cell>
          <cell r="K97">
            <v>1086</v>
          </cell>
        </row>
        <row r="98">
          <cell r="D98">
            <v>3187</v>
          </cell>
          <cell r="E98">
            <v>572</v>
          </cell>
          <cell r="F98">
            <v>495</v>
          </cell>
          <cell r="G98">
            <v>589</v>
          </cell>
          <cell r="H98">
            <v>548</v>
          </cell>
          <cell r="I98">
            <v>225</v>
          </cell>
          <cell r="J98">
            <v>312</v>
          </cell>
          <cell r="K98">
            <v>446</v>
          </cell>
        </row>
        <row r="115">
          <cell r="D115">
            <v>399</v>
          </cell>
          <cell r="E115">
            <v>64</v>
          </cell>
          <cell r="F115">
            <v>57</v>
          </cell>
          <cell r="G115">
            <v>50</v>
          </cell>
          <cell r="H115">
            <v>45</v>
          </cell>
          <cell r="I115">
            <v>21</v>
          </cell>
          <cell r="J115">
            <v>147</v>
          </cell>
          <cell r="K115">
            <v>15</v>
          </cell>
        </row>
        <row r="116">
          <cell r="D116">
            <v>161</v>
          </cell>
          <cell r="E116">
            <v>16</v>
          </cell>
          <cell r="F116">
            <v>32</v>
          </cell>
          <cell r="G116">
            <v>21</v>
          </cell>
          <cell r="H116">
            <v>20</v>
          </cell>
          <cell r="I116">
            <v>10</v>
          </cell>
          <cell r="J116">
            <v>57</v>
          </cell>
          <cell r="K116">
            <v>5</v>
          </cell>
        </row>
        <row r="129">
          <cell r="D129">
            <v>29061</v>
          </cell>
          <cell r="E129">
            <v>4238</v>
          </cell>
          <cell r="F129">
            <v>4163</v>
          </cell>
          <cell r="G129">
            <v>4092</v>
          </cell>
          <cell r="H129">
            <v>2807</v>
          </cell>
          <cell r="I129">
            <v>6700</v>
          </cell>
          <cell r="J129">
            <v>5547</v>
          </cell>
          <cell r="K129">
            <v>1514</v>
          </cell>
        </row>
        <row r="130">
          <cell r="D130">
            <v>21722</v>
          </cell>
          <cell r="E130">
            <v>3661</v>
          </cell>
          <cell r="F130">
            <v>3005</v>
          </cell>
          <cell r="G130">
            <v>3426</v>
          </cell>
          <cell r="H130">
            <v>2215</v>
          </cell>
          <cell r="I130">
            <v>4759</v>
          </cell>
          <cell r="J130">
            <v>3477</v>
          </cell>
          <cell r="K130">
            <v>1179</v>
          </cell>
        </row>
        <row r="131">
          <cell r="A131" t="str">
            <v>៧. ស្ថិតិមុខរបរបន្ទាប់បន្សំ</v>
          </cell>
        </row>
        <row r="140">
          <cell r="B140" t="str">
            <v>សរុបប្រុសអាយុ១៨ឆ្នាំឡើងមានមុខរបរវិស័យកសិកម្ម(មុខរបរបន្ទាប់បន្សំ)</v>
          </cell>
          <cell r="D140">
            <v>32265</v>
          </cell>
          <cell r="E140">
            <v>5942</v>
          </cell>
          <cell r="F140">
            <v>4837</v>
          </cell>
          <cell r="G140">
            <v>6306</v>
          </cell>
          <cell r="H140">
            <v>3685</v>
          </cell>
          <cell r="I140">
            <v>6738</v>
          </cell>
          <cell r="J140">
            <v>1328</v>
          </cell>
          <cell r="K140">
            <v>3429</v>
          </cell>
        </row>
        <row r="141">
          <cell r="B141" t="str">
            <v>សរុបស្រីអាយុ១៨ឆ្នាំឡើងមានមុខរបរវិស័យកសិកម្ម(មុខរបរបន្ទាប់បន្សំ)</v>
          </cell>
          <cell r="D141">
            <v>26891</v>
          </cell>
          <cell r="E141">
            <v>5367</v>
          </cell>
          <cell r="F141">
            <v>3884</v>
          </cell>
          <cell r="G141">
            <v>5447</v>
          </cell>
          <cell r="H141">
            <v>2805</v>
          </cell>
          <cell r="I141">
            <v>5914</v>
          </cell>
          <cell r="J141">
            <v>964</v>
          </cell>
          <cell r="K141">
            <v>2510</v>
          </cell>
        </row>
        <row r="148">
          <cell r="B148" t="str">
            <v>សរុបប្រុសអាយុ១៨ឆ្នាំឡើងមានមុខរបរពីនេសាទ ចិញ្ចឹមសត្វ អនុផលព្រៃឈើ(មុខរបរបន្ទាប់បន្សំ)</v>
          </cell>
          <cell r="D148">
            <v>4787</v>
          </cell>
          <cell r="E148">
            <v>946</v>
          </cell>
          <cell r="F148">
            <v>1237</v>
          </cell>
          <cell r="G148">
            <v>832</v>
          </cell>
          <cell r="H148">
            <v>1318</v>
          </cell>
          <cell r="I148">
            <v>41</v>
          </cell>
          <cell r="J148">
            <v>227</v>
          </cell>
          <cell r="K148">
            <v>186</v>
          </cell>
        </row>
        <row r="149">
          <cell r="B149" t="str">
            <v>សរុបស្រីអាយុ១៨ឆ្នាំឡើងមានមុខរបរពីនេសាទ ចិញ្ចឹមសត្វ អនុផលព្រៃឈើ(មុខរបរបន្ទាប់បន្សំ)</v>
          </cell>
          <cell r="D149">
            <v>3149</v>
          </cell>
          <cell r="E149">
            <v>601</v>
          </cell>
          <cell r="F149">
            <v>868</v>
          </cell>
          <cell r="G149">
            <v>705</v>
          </cell>
          <cell r="H149">
            <v>726</v>
          </cell>
          <cell r="I149">
            <v>34</v>
          </cell>
          <cell r="J149">
            <v>127</v>
          </cell>
          <cell r="K149">
            <v>88</v>
          </cell>
        </row>
        <row r="166">
          <cell r="B166" t="str">
            <v>សរុបប្រុសអាយុ១៨ឆ្នាំឡើងមានមុខរបរពីវិស័យសិប្បកម្ម(មុខរបរបន្ទាប់បន្សំ)</v>
          </cell>
          <cell r="D166">
            <v>122</v>
          </cell>
          <cell r="E166">
            <v>15</v>
          </cell>
          <cell r="F166">
            <v>26</v>
          </cell>
          <cell r="G166">
            <v>20</v>
          </cell>
          <cell r="H166">
            <v>12</v>
          </cell>
          <cell r="I166">
            <v>3</v>
          </cell>
          <cell r="J166">
            <v>41</v>
          </cell>
          <cell r="K166">
            <v>5</v>
          </cell>
        </row>
        <row r="167">
          <cell r="B167" t="str">
            <v>សរុបស្រីអាយុ១៨ឆ្នាំឡើងមានមុខរបរពីវិស័យសិប្បកម្ម(មុខរបរបន្ទាប់បន្សំ)</v>
          </cell>
          <cell r="D167">
            <v>69</v>
          </cell>
          <cell r="E167">
            <v>7</v>
          </cell>
          <cell r="F167">
            <v>25</v>
          </cell>
          <cell r="G167">
            <v>16</v>
          </cell>
          <cell r="H167">
            <v>8</v>
          </cell>
          <cell r="I167">
            <v>1</v>
          </cell>
          <cell r="J167">
            <v>12</v>
          </cell>
          <cell r="K167">
            <v>0</v>
          </cell>
        </row>
        <row r="178">
          <cell r="B178" t="str">
            <v>សរុបប្រុសអាយុ១៨ឆ្នាំឡើងមានមុខរបរពីសេវាកម្ម(មុខរបរបន្ទាប់បន្សំ)</v>
          </cell>
          <cell r="D178">
            <v>7118</v>
          </cell>
          <cell r="E178">
            <v>1460</v>
          </cell>
          <cell r="F178">
            <v>991</v>
          </cell>
          <cell r="G178">
            <v>950</v>
          </cell>
          <cell r="H178">
            <v>745</v>
          </cell>
          <cell r="I178">
            <v>1581</v>
          </cell>
          <cell r="J178">
            <v>1136</v>
          </cell>
          <cell r="K178">
            <v>255</v>
          </cell>
        </row>
        <row r="179">
          <cell r="B179" t="str">
            <v>សរុបស្រីអាយុ១៨ឆ្នាំឡើងមានមុខរបរពីសេវាកម្ម(មុខរបរបន្ទាប់បន្សំ)</v>
          </cell>
          <cell r="D179">
            <v>5434</v>
          </cell>
          <cell r="E179">
            <v>1598</v>
          </cell>
          <cell r="F179">
            <v>844</v>
          </cell>
          <cell r="G179">
            <v>767</v>
          </cell>
          <cell r="H179">
            <v>428</v>
          </cell>
          <cell r="I179">
            <v>1049</v>
          </cell>
          <cell r="J179">
            <v>624</v>
          </cell>
          <cell r="K179">
            <v>124</v>
          </cell>
        </row>
        <row r="180">
          <cell r="A180" t="str">
            <v>៨. ចំណាកស្រុក</v>
          </cell>
        </row>
        <row r="181">
          <cell r="B181" t="str">
            <v>ប្រុសអាយុ១៨ឆ្នាំឡើងចេញទៅរកការងារធ្វើនៅក្នុងប្រទេស(ចំណាកស្រុកក្នុងស្រុក)</v>
          </cell>
          <cell r="D181">
            <v>13515</v>
          </cell>
          <cell r="E181">
            <v>2011</v>
          </cell>
          <cell r="F181">
            <v>2786</v>
          </cell>
          <cell r="G181">
            <v>3107</v>
          </cell>
          <cell r="H181">
            <v>2095</v>
          </cell>
          <cell r="I181">
            <v>1811</v>
          </cell>
          <cell r="J181">
            <v>998</v>
          </cell>
          <cell r="K181">
            <v>707</v>
          </cell>
        </row>
        <row r="182">
          <cell r="B182" t="str">
            <v>ស្រីអាយុ១៨ឆ្នាំឡើងចេញទៅរកការងារធ្វើនៅក្នុងប្រទេស(ចំណាកស្រុកក្នុងស្រុក)</v>
          </cell>
          <cell r="D182">
            <v>10463</v>
          </cell>
          <cell r="E182">
            <v>1733</v>
          </cell>
          <cell r="F182">
            <v>2233</v>
          </cell>
          <cell r="G182">
            <v>2457</v>
          </cell>
          <cell r="H182">
            <v>1397</v>
          </cell>
          <cell r="I182">
            <v>1403</v>
          </cell>
          <cell r="J182">
            <v>550</v>
          </cell>
          <cell r="K182">
            <v>690</v>
          </cell>
        </row>
        <row r="183">
          <cell r="B183" t="str">
            <v>ប្រុសអាយុ១៨ឆ្នាំឡើងចេញទៅរកការងារធ្វើនៅក្រៅប្រទេស(ចំណាកស្រុកក្រៅប្រទេស)</v>
          </cell>
          <cell r="D183">
            <v>1491</v>
          </cell>
          <cell r="E183">
            <v>329</v>
          </cell>
          <cell r="F183">
            <v>250</v>
          </cell>
          <cell r="G183">
            <v>305</v>
          </cell>
          <cell r="H183">
            <v>195</v>
          </cell>
          <cell r="I183">
            <v>224</v>
          </cell>
          <cell r="J183">
            <v>113</v>
          </cell>
          <cell r="K183">
            <v>75</v>
          </cell>
        </row>
        <row r="184">
          <cell r="B184" t="str">
            <v>ស្រីអាយុ១៨ឆ្នាំឡើងចេញទៅរកការងារធ្វើនៅក្រៅប្រទេស(ចំណាកស្រុកក្រៅប្រទេស)</v>
          </cell>
          <cell r="D184">
            <v>895</v>
          </cell>
          <cell r="E184">
            <v>171</v>
          </cell>
          <cell r="F184">
            <v>176</v>
          </cell>
          <cell r="G184">
            <v>224</v>
          </cell>
          <cell r="H184">
            <v>91</v>
          </cell>
          <cell r="I184">
            <v>127</v>
          </cell>
          <cell r="J184">
            <v>77</v>
          </cell>
          <cell r="K184">
            <v>29</v>
          </cell>
        </row>
        <row r="185">
          <cell r="A185" t="str">
            <v>៩. ផលិតកម្ម</v>
          </cell>
        </row>
        <row r="186">
          <cell r="B186" t="str">
            <v>ចំនួនទីតាំងម៉ាស៊ីនកិនស្រូវខ្នាតមធ្យមឬធំ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</row>
        <row r="187">
          <cell r="B187" t="str">
            <v>សរុបចំនួនកម្មករធ្វើការនៅតាមទីតាំងម៉ាស៊ីនកិនស្រូវខ្នាតមធ្យមឬធំ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</row>
        <row r="188">
          <cell r="B188" t="str">
            <v>ចំនួនកម្មករស្រីធ្វើការនៅតាមទីតាំងម៉ាស៊ីនកិនស្រូវខ្នាតមធ្យមឬធំ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</row>
        <row r="189">
          <cell r="B189" t="str">
            <v>ចំនួនទីតាំងម៉ាស៊ីនកិនស្រូវខ្នាតមធ្យម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</row>
        <row r="190">
          <cell r="B190" t="str">
            <v>សរុបចំនួនកម្មករធ្វើការនៅតាមទីតាំងម៉ាស៊ីនកិនស្រូវខ្នាតមធ្យម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</row>
        <row r="191">
          <cell r="B191" t="str">
            <v>ចំនួនកម្មករស្រីធ្វើការនៅតាមទីតាំងម៉ាស៊ីនកិនស្រូវខ្នាតមធ្យម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B192" t="str">
            <v>ចំនួនទីតាំងម៉ាស៊ីនកិនស្រូវធុនធំ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</row>
        <row r="193">
          <cell r="B193" t="str">
            <v>សរុបចំនួនកម្មករធ្វើការនៅតាមទីតាំងម៉ាស៊ីនកិនស្រូវធុនធំ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</row>
        <row r="194">
          <cell r="B194" t="str">
            <v>ចំនួនកម្មករស្រីធ្វើការនៅតាមទីតាំងម៉ាស៊ីនកិនស្រូវធុនធំ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D195">
            <v>8</v>
          </cell>
          <cell r="E195">
            <v>3</v>
          </cell>
          <cell r="F195">
            <v>0</v>
          </cell>
          <cell r="G195">
            <v>1</v>
          </cell>
          <cell r="H195">
            <v>0</v>
          </cell>
          <cell r="I195">
            <v>0</v>
          </cell>
          <cell r="J195">
            <v>0</v>
          </cell>
          <cell r="K195">
            <v>4</v>
          </cell>
        </row>
        <row r="196">
          <cell r="D196">
            <v>31</v>
          </cell>
          <cell r="E196">
            <v>12</v>
          </cell>
          <cell r="F196">
            <v>0</v>
          </cell>
          <cell r="G196">
            <v>15</v>
          </cell>
          <cell r="H196">
            <v>0</v>
          </cell>
          <cell r="I196">
            <v>0</v>
          </cell>
          <cell r="J196">
            <v>0</v>
          </cell>
          <cell r="K196">
            <v>4</v>
          </cell>
        </row>
        <row r="197">
          <cell r="D197">
            <v>6</v>
          </cell>
          <cell r="E197">
            <v>2</v>
          </cell>
          <cell r="F197">
            <v>0</v>
          </cell>
          <cell r="G197">
            <v>4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</row>
        <row r="198">
          <cell r="D198">
            <v>24</v>
          </cell>
          <cell r="E198">
            <v>4</v>
          </cell>
          <cell r="F198">
            <v>19</v>
          </cell>
          <cell r="G198">
            <v>0</v>
          </cell>
          <cell r="H198">
            <v>0</v>
          </cell>
          <cell r="I198">
            <v>0</v>
          </cell>
          <cell r="J198">
            <v>1</v>
          </cell>
          <cell r="K198">
            <v>0</v>
          </cell>
        </row>
        <row r="199">
          <cell r="D199">
            <v>312</v>
          </cell>
          <cell r="E199">
            <v>25</v>
          </cell>
          <cell r="F199">
            <v>249</v>
          </cell>
          <cell r="G199">
            <v>0</v>
          </cell>
          <cell r="H199">
            <v>0</v>
          </cell>
          <cell r="I199">
            <v>0</v>
          </cell>
          <cell r="J199">
            <v>38</v>
          </cell>
          <cell r="K199">
            <v>0</v>
          </cell>
        </row>
        <row r="200">
          <cell r="D200">
            <v>116</v>
          </cell>
          <cell r="E200">
            <v>17</v>
          </cell>
          <cell r="F200">
            <v>85</v>
          </cell>
          <cell r="G200">
            <v>0</v>
          </cell>
          <cell r="H200">
            <v>0</v>
          </cell>
          <cell r="I200">
            <v>0</v>
          </cell>
          <cell r="J200">
            <v>14</v>
          </cell>
          <cell r="K200">
            <v>0</v>
          </cell>
        </row>
        <row r="201"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</row>
        <row r="202"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</row>
        <row r="203"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</row>
        <row r="204">
          <cell r="D204">
            <v>4</v>
          </cell>
          <cell r="E204">
            <v>1</v>
          </cell>
          <cell r="F204">
            <v>0</v>
          </cell>
          <cell r="G204">
            <v>3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</row>
        <row r="205">
          <cell r="D205">
            <v>6</v>
          </cell>
          <cell r="E205">
            <v>1</v>
          </cell>
          <cell r="F205">
            <v>0</v>
          </cell>
          <cell r="G205">
            <v>5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</row>
        <row r="206">
          <cell r="D206">
            <v>6</v>
          </cell>
          <cell r="E206">
            <v>1</v>
          </cell>
          <cell r="F206">
            <v>0</v>
          </cell>
          <cell r="G206">
            <v>5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</row>
        <row r="207"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</row>
        <row r="208"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</row>
        <row r="209"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</row>
        <row r="210">
          <cell r="D210">
            <v>101</v>
          </cell>
          <cell r="E210">
            <v>5</v>
          </cell>
          <cell r="F210">
            <v>24</v>
          </cell>
          <cell r="G210">
            <v>13</v>
          </cell>
          <cell r="H210">
            <v>28</v>
          </cell>
          <cell r="I210">
            <v>7</v>
          </cell>
          <cell r="J210">
            <v>24</v>
          </cell>
          <cell r="K210">
            <v>0</v>
          </cell>
        </row>
        <row r="211">
          <cell r="D211">
            <v>258</v>
          </cell>
          <cell r="E211">
            <v>7</v>
          </cell>
          <cell r="F211">
            <v>44</v>
          </cell>
          <cell r="G211">
            <v>20</v>
          </cell>
          <cell r="H211">
            <v>59</v>
          </cell>
          <cell r="I211">
            <v>11</v>
          </cell>
          <cell r="J211">
            <v>117</v>
          </cell>
          <cell r="K211">
            <v>0</v>
          </cell>
        </row>
        <row r="212">
          <cell r="D212">
            <v>62</v>
          </cell>
          <cell r="E212">
            <v>0</v>
          </cell>
          <cell r="F212">
            <v>10</v>
          </cell>
          <cell r="G212">
            <v>8</v>
          </cell>
          <cell r="H212">
            <v>8</v>
          </cell>
          <cell r="I212">
            <v>4</v>
          </cell>
          <cell r="J212">
            <v>32</v>
          </cell>
          <cell r="K212">
            <v>0</v>
          </cell>
        </row>
        <row r="213">
          <cell r="D213">
            <v>1</v>
          </cell>
          <cell r="E213">
            <v>0</v>
          </cell>
          <cell r="F213">
            <v>1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</row>
        <row r="214">
          <cell r="D214">
            <v>5</v>
          </cell>
          <cell r="E214">
            <v>0</v>
          </cell>
          <cell r="F214">
            <v>5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</row>
        <row r="215"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</row>
        <row r="216">
          <cell r="D216">
            <v>29</v>
          </cell>
          <cell r="E216">
            <v>0</v>
          </cell>
          <cell r="F216">
            <v>1</v>
          </cell>
          <cell r="G216">
            <v>6</v>
          </cell>
          <cell r="H216">
            <v>1</v>
          </cell>
          <cell r="I216">
            <v>1</v>
          </cell>
          <cell r="J216">
            <v>20</v>
          </cell>
          <cell r="K216">
            <v>0</v>
          </cell>
        </row>
        <row r="217">
          <cell r="D217">
            <v>67</v>
          </cell>
          <cell r="E217">
            <v>0</v>
          </cell>
          <cell r="F217">
            <v>2</v>
          </cell>
          <cell r="G217">
            <v>7</v>
          </cell>
          <cell r="H217">
            <v>1</v>
          </cell>
          <cell r="I217">
            <v>2</v>
          </cell>
          <cell r="J217">
            <v>55</v>
          </cell>
          <cell r="K217">
            <v>0</v>
          </cell>
        </row>
        <row r="218">
          <cell r="D218">
            <v>8</v>
          </cell>
          <cell r="E218">
            <v>0</v>
          </cell>
          <cell r="F218">
            <v>0</v>
          </cell>
          <cell r="G218">
            <v>2</v>
          </cell>
          <cell r="H218">
            <v>1</v>
          </cell>
          <cell r="I218">
            <v>0</v>
          </cell>
          <cell r="J218">
            <v>5</v>
          </cell>
          <cell r="K218">
            <v>0</v>
          </cell>
        </row>
        <row r="219">
          <cell r="D219">
            <v>16</v>
          </cell>
          <cell r="E219">
            <v>9</v>
          </cell>
          <cell r="F219">
            <v>1</v>
          </cell>
          <cell r="G219">
            <v>2</v>
          </cell>
          <cell r="H219">
            <v>1</v>
          </cell>
          <cell r="I219">
            <v>1</v>
          </cell>
          <cell r="J219">
            <v>2</v>
          </cell>
          <cell r="K219">
            <v>0</v>
          </cell>
        </row>
        <row r="220">
          <cell r="D220">
            <v>75</v>
          </cell>
          <cell r="E220">
            <v>54</v>
          </cell>
          <cell r="F220">
            <v>4</v>
          </cell>
          <cell r="G220">
            <v>4</v>
          </cell>
          <cell r="H220">
            <v>2</v>
          </cell>
          <cell r="I220">
            <v>2</v>
          </cell>
          <cell r="J220">
            <v>9</v>
          </cell>
          <cell r="K220">
            <v>0</v>
          </cell>
        </row>
        <row r="221">
          <cell r="D221">
            <v>41</v>
          </cell>
          <cell r="E221">
            <v>27</v>
          </cell>
          <cell r="F221">
            <v>3</v>
          </cell>
          <cell r="G221">
            <v>3</v>
          </cell>
          <cell r="H221">
            <v>2</v>
          </cell>
          <cell r="I221">
            <v>0</v>
          </cell>
          <cell r="J221">
            <v>6</v>
          </cell>
          <cell r="K221">
            <v>0</v>
          </cell>
        </row>
        <row r="222">
          <cell r="D222">
            <v>127</v>
          </cell>
          <cell r="E222">
            <v>27</v>
          </cell>
          <cell r="F222">
            <v>20</v>
          </cell>
          <cell r="G222">
            <v>29</v>
          </cell>
          <cell r="H222">
            <v>9</v>
          </cell>
          <cell r="I222">
            <v>17</v>
          </cell>
          <cell r="J222">
            <v>20</v>
          </cell>
          <cell r="K222">
            <v>5</v>
          </cell>
        </row>
        <row r="223">
          <cell r="D223">
            <v>464</v>
          </cell>
          <cell r="E223">
            <v>76</v>
          </cell>
          <cell r="F223">
            <v>49</v>
          </cell>
          <cell r="G223">
            <v>89</v>
          </cell>
          <cell r="H223">
            <v>31</v>
          </cell>
          <cell r="I223">
            <v>99</v>
          </cell>
          <cell r="J223">
            <v>91</v>
          </cell>
          <cell r="K223">
            <v>29</v>
          </cell>
        </row>
        <row r="224">
          <cell r="D224">
            <v>249</v>
          </cell>
          <cell r="E224">
            <v>38</v>
          </cell>
          <cell r="F224">
            <v>28</v>
          </cell>
          <cell r="G224">
            <v>46</v>
          </cell>
          <cell r="H224">
            <v>20</v>
          </cell>
          <cell r="I224">
            <v>55</v>
          </cell>
          <cell r="J224">
            <v>50</v>
          </cell>
          <cell r="K224">
            <v>12</v>
          </cell>
        </row>
        <row r="225">
          <cell r="D225">
            <v>6</v>
          </cell>
          <cell r="E225">
            <v>0</v>
          </cell>
          <cell r="F225">
            <v>0</v>
          </cell>
          <cell r="G225">
            <v>1</v>
          </cell>
          <cell r="H225">
            <v>0</v>
          </cell>
          <cell r="I225">
            <v>2</v>
          </cell>
          <cell r="J225">
            <v>3</v>
          </cell>
          <cell r="K225">
            <v>0</v>
          </cell>
        </row>
        <row r="226">
          <cell r="D226">
            <v>124</v>
          </cell>
          <cell r="E226">
            <v>0</v>
          </cell>
          <cell r="F226">
            <v>0</v>
          </cell>
          <cell r="G226">
            <v>1</v>
          </cell>
          <cell r="H226">
            <v>0</v>
          </cell>
          <cell r="I226">
            <v>111</v>
          </cell>
          <cell r="J226">
            <v>12</v>
          </cell>
          <cell r="K226">
            <v>0</v>
          </cell>
        </row>
        <row r="227">
          <cell r="D227">
            <v>80</v>
          </cell>
          <cell r="E227">
            <v>0</v>
          </cell>
          <cell r="F227">
            <v>0</v>
          </cell>
          <cell r="G227">
            <v>1</v>
          </cell>
          <cell r="H227">
            <v>0</v>
          </cell>
          <cell r="I227">
            <v>74</v>
          </cell>
          <cell r="J227">
            <v>5</v>
          </cell>
          <cell r="K227">
            <v>0</v>
          </cell>
        </row>
        <row r="228">
          <cell r="D228">
            <v>2</v>
          </cell>
          <cell r="E228">
            <v>0</v>
          </cell>
          <cell r="F228">
            <v>0</v>
          </cell>
          <cell r="G228">
            <v>0</v>
          </cell>
          <cell r="H228">
            <v>1</v>
          </cell>
          <cell r="I228">
            <v>0</v>
          </cell>
          <cell r="J228">
            <v>1</v>
          </cell>
          <cell r="K228">
            <v>0</v>
          </cell>
        </row>
        <row r="229">
          <cell r="D229">
            <v>5</v>
          </cell>
          <cell r="E229">
            <v>0</v>
          </cell>
          <cell r="F229">
            <v>0</v>
          </cell>
          <cell r="G229">
            <v>0</v>
          </cell>
          <cell r="H229">
            <v>2</v>
          </cell>
          <cell r="I229">
            <v>0</v>
          </cell>
          <cell r="J229">
            <v>3</v>
          </cell>
          <cell r="K229">
            <v>0</v>
          </cell>
        </row>
        <row r="230">
          <cell r="D230">
            <v>4</v>
          </cell>
          <cell r="E230">
            <v>0</v>
          </cell>
          <cell r="F230">
            <v>0</v>
          </cell>
          <cell r="G230">
            <v>0</v>
          </cell>
          <cell r="H230">
            <v>2</v>
          </cell>
          <cell r="I230">
            <v>0</v>
          </cell>
          <cell r="J230">
            <v>2</v>
          </cell>
          <cell r="K230">
            <v>0</v>
          </cell>
        </row>
        <row r="231">
          <cell r="D231">
            <v>23</v>
          </cell>
          <cell r="E231">
            <v>3</v>
          </cell>
          <cell r="F231">
            <v>12</v>
          </cell>
          <cell r="G231">
            <v>3</v>
          </cell>
          <cell r="H231">
            <v>2</v>
          </cell>
          <cell r="I231">
            <v>2</v>
          </cell>
          <cell r="J231">
            <v>1</v>
          </cell>
          <cell r="K231">
            <v>0</v>
          </cell>
        </row>
        <row r="232">
          <cell r="D232">
            <v>87</v>
          </cell>
          <cell r="E232">
            <v>10</v>
          </cell>
          <cell r="F232">
            <v>46</v>
          </cell>
          <cell r="G232">
            <v>9</v>
          </cell>
          <cell r="H232">
            <v>6</v>
          </cell>
          <cell r="I232">
            <v>14</v>
          </cell>
          <cell r="J232">
            <v>2</v>
          </cell>
          <cell r="K232">
            <v>0</v>
          </cell>
        </row>
        <row r="233">
          <cell r="D233">
            <v>42</v>
          </cell>
          <cell r="E233">
            <v>0</v>
          </cell>
          <cell r="F233">
            <v>34</v>
          </cell>
          <cell r="G233">
            <v>2</v>
          </cell>
          <cell r="H233">
            <v>3</v>
          </cell>
          <cell r="I233">
            <v>2</v>
          </cell>
          <cell r="J233">
            <v>1</v>
          </cell>
          <cell r="K233">
            <v>0</v>
          </cell>
        </row>
        <row r="234">
          <cell r="B234" t="str">
            <v>ចំនួនសរុបទីតាំងសិប្បកម្ម ផលិតកម្មទាំងអស់</v>
          </cell>
          <cell r="D234">
            <v>341</v>
          </cell>
          <cell r="E234">
            <v>52</v>
          </cell>
          <cell r="F234">
            <v>78</v>
          </cell>
          <cell r="G234">
            <v>58</v>
          </cell>
          <cell r="H234">
            <v>42</v>
          </cell>
          <cell r="I234">
            <v>30</v>
          </cell>
          <cell r="J234">
            <v>72</v>
          </cell>
          <cell r="K234">
            <v>9</v>
          </cell>
        </row>
        <row r="235">
          <cell r="B235" t="str">
            <v>ចំនួនសរុបកម្មករធ្វើការនៅតាមទីតាំងសិប្បកម្ម ផលិតកម្មទាំងអស់</v>
          </cell>
          <cell r="D235">
            <v>1434</v>
          </cell>
          <cell r="E235">
            <v>185</v>
          </cell>
          <cell r="F235">
            <v>399</v>
          </cell>
          <cell r="G235">
            <v>150</v>
          </cell>
          <cell r="H235">
            <v>101</v>
          </cell>
          <cell r="I235">
            <v>239</v>
          </cell>
          <cell r="J235">
            <v>327</v>
          </cell>
          <cell r="K235">
            <v>33</v>
          </cell>
        </row>
        <row r="236">
          <cell r="B236" t="str">
            <v>ចំនួនសរុបកម្មករស្រីធ្វើការនៅតាមទីតាំងសិប្បកម្ម ផលិតកម្មទាំងអស់</v>
          </cell>
          <cell r="D236">
            <v>614</v>
          </cell>
          <cell r="E236">
            <v>85</v>
          </cell>
          <cell r="F236">
            <v>160</v>
          </cell>
          <cell r="G236">
            <v>71</v>
          </cell>
          <cell r="H236">
            <v>36</v>
          </cell>
          <cell r="I236">
            <v>135</v>
          </cell>
          <cell r="J236">
            <v>115</v>
          </cell>
          <cell r="K236">
            <v>12</v>
          </cell>
        </row>
        <row r="237">
          <cell r="A237" t="str">
            <v>១០. សេវាកម្ម</v>
          </cell>
        </row>
        <row r="238">
          <cell r="B238" t="str">
            <v>ចំនួនទីតាំងផ្សារទំនើប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</row>
        <row r="239">
          <cell r="B239" t="str">
            <v>ចំនួនទីតាំងផ្សារមធ្យម(ផ្សារធម្មតាតែលក់ពេញមួយថ្ងៃ)</v>
          </cell>
          <cell r="D239">
            <v>13</v>
          </cell>
          <cell r="E239">
            <v>2</v>
          </cell>
          <cell r="F239">
            <v>1</v>
          </cell>
          <cell r="G239">
            <v>3</v>
          </cell>
          <cell r="H239">
            <v>2</v>
          </cell>
          <cell r="I239">
            <v>4</v>
          </cell>
          <cell r="J239">
            <v>1</v>
          </cell>
          <cell r="K239">
            <v>0</v>
          </cell>
        </row>
        <row r="240">
          <cell r="B240" t="str">
            <v>ចំនួនទីតាំងផ្សារខ្នាតតូច(ផ្សារលក់តែមួយព្រឹកឬល្ងាច)</v>
          </cell>
          <cell r="D240">
            <v>22</v>
          </cell>
          <cell r="E240">
            <v>4</v>
          </cell>
          <cell r="F240">
            <v>7</v>
          </cell>
          <cell r="G240">
            <v>3</v>
          </cell>
          <cell r="H240">
            <v>1</v>
          </cell>
          <cell r="I240">
            <v>1</v>
          </cell>
          <cell r="J240">
            <v>6</v>
          </cell>
          <cell r="K240">
            <v>0</v>
          </cell>
        </row>
        <row r="241">
          <cell r="B241" t="str">
            <v>ចំនួនទីតាំងផ្សាររាត្រី(ផ្សារលក់តែពេលយប់)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</row>
        <row r="242">
          <cell r="D242">
            <v>2198</v>
          </cell>
          <cell r="E242">
            <v>328</v>
          </cell>
          <cell r="F242">
            <v>319</v>
          </cell>
          <cell r="G242">
            <v>385</v>
          </cell>
          <cell r="H242">
            <v>201</v>
          </cell>
          <cell r="I242">
            <v>532</v>
          </cell>
          <cell r="J242">
            <v>276</v>
          </cell>
          <cell r="K242">
            <v>157</v>
          </cell>
        </row>
        <row r="243">
          <cell r="D243">
            <v>3536</v>
          </cell>
          <cell r="E243">
            <v>550</v>
          </cell>
          <cell r="F243">
            <v>515</v>
          </cell>
          <cell r="G243">
            <v>700</v>
          </cell>
          <cell r="H243">
            <v>297</v>
          </cell>
          <cell r="I243">
            <v>723</v>
          </cell>
          <cell r="J243">
            <v>491</v>
          </cell>
          <cell r="K243">
            <v>260</v>
          </cell>
        </row>
        <row r="244">
          <cell r="D244">
            <v>2376</v>
          </cell>
          <cell r="E244">
            <v>364</v>
          </cell>
          <cell r="F244">
            <v>327</v>
          </cell>
          <cell r="G244">
            <v>460</v>
          </cell>
          <cell r="H244">
            <v>200</v>
          </cell>
          <cell r="I244">
            <v>555</v>
          </cell>
          <cell r="J244">
            <v>285</v>
          </cell>
          <cell r="K244">
            <v>185</v>
          </cell>
        </row>
        <row r="245">
          <cell r="D245">
            <v>549</v>
          </cell>
          <cell r="E245">
            <v>103</v>
          </cell>
          <cell r="F245">
            <v>96</v>
          </cell>
          <cell r="G245">
            <v>68</v>
          </cell>
          <cell r="H245">
            <v>39</v>
          </cell>
          <cell r="I245">
            <v>151</v>
          </cell>
          <cell r="J245">
            <v>41</v>
          </cell>
          <cell r="K245">
            <v>51</v>
          </cell>
        </row>
        <row r="246">
          <cell r="D246">
            <v>835</v>
          </cell>
          <cell r="E246">
            <v>149</v>
          </cell>
          <cell r="F246">
            <v>146</v>
          </cell>
          <cell r="G246">
            <v>97</v>
          </cell>
          <cell r="H246">
            <v>62</v>
          </cell>
          <cell r="I246">
            <v>206</v>
          </cell>
          <cell r="J246">
            <v>82</v>
          </cell>
          <cell r="K246">
            <v>93</v>
          </cell>
        </row>
        <row r="247">
          <cell r="D247">
            <v>597</v>
          </cell>
          <cell r="E247">
            <v>110</v>
          </cell>
          <cell r="F247">
            <v>104</v>
          </cell>
          <cell r="G247">
            <v>70</v>
          </cell>
          <cell r="H247">
            <v>48</v>
          </cell>
          <cell r="I247">
            <v>158</v>
          </cell>
          <cell r="J247">
            <v>49</v>
          </cell>
          <cell r="K247">
            <v>58</v>
          </cell>
        </row>
        <row r="248">
          <cell r="D248">
            <v>126</v>
          </cell>
          <cell r="E248">
            <v>33</v>
          </cell>
          <cell r="F248">
            <v>3</v>
          </cell>
          <cell r="G248">
            <v>10</v>
          </cell>
          <cell r="H248">
            <v>10</v>
          </cell>
          <cell r="I248">
            <v>32</v>
          </cell>
          <cell r="J248">
            <v>33</v>
          </cell>
          <cell r="K248">
            <v>5</v>
          </cell>
        </row>
        <row r="249">
          <cell r="D249">
            <v>185</v>
          </cell>
          <cell r="E249">
            <v>38</v>
          </cell>
          <cell r="F249">
            <v>6</v>
          </cell>
          <cell r="G249">
            <v>11</v>
          </cell>
          <cell r="H249">
            <v>30</v>
          </cell>
          <cell r="I249">
            <v>41</v>
          </cell>
          <cell r="J249">
            <v>54</v>
          </cell>
          <cell r="K249">
            <v>5</v>
          </cell>
        </row>
        <row r="250">
          <cell r="D250">
            <v>127</v>
          </cell>
          <cell r="E250">
            <v>33</v>
          </cell>
          <cell r="F250">
            <v>3</v>
          </cell>
          <cell r="G250">
            <v>7</v>
          </cell>
          <cell r="H250">
            <v>19</v>
          </cell>
          <cell r="I250">
            <v>32</v>
          </cell>
          <cell r="J250">
            <v>28</v>
          </cell>
          <cell r="K250">
            <v>5</v>
          </cell>
        </row>
        <row r="251">
          <cell r="D251">
            <v>164</v>
          </cell>
          <cell r="E251">
            <v>24</v>
          </cell>
          <cell r="F251">
            <v>19</v>
          </cell>
          <cell r="G251">
            <v>28</v>
          </cell>
          <cell r="H251">
            <v>10</v>
          </cell>
          <cell r="I251">
            <v>42</v>
          </cell>
          <cell r="J251">
            <v>28</v>
          </cell>
          <cell r="K251">
            <v>13</v>
          </cell>
        </row>
        <row r="252">
          <cell r="D252">
            <v>270</v>
          </cell>
          <cell r="E252">
            <v>40</v>
          </cell>
          <cell r="F252">
            <v>29</v>
          </cell>
          <cell r="G252">
            <v>51</v>
          </cell>
          <cell r="H252">
            <v>15</v>
          </cell>
          <cell r="I252">
            <v>65</v>
          </cell>
          <cell r="J252">
            <v>46</v>
          </cell>
          <cell r="K252">
            <v>24</v>
          </cell>
        </row>
        <row r="253">
          <cell r="D253">
            <v>110</v>
          </cell>
          <cell r="E253">
            <v>19</v>
          </cell>
          <cell r="F253">
            <v>9</v>
          </cell>
          <cell r="G253">
            <v>23</v>
          </cell>
          <cell r="H253">
            <v>3</v>
          </cell>
          <cell r="I253">
            <v>24</v>
          </cell>
          <cell r="J253">
            <v>20</v>
          </cell>
          <cell r="K253">
            <v>12</v>
          </cell>
        </row>
        <row r="254">
          <cell r="D254">
            <v>27</v>
          </cell>
          <cell r="E254">
            <v>3</v>
          </cell>
          <cell r="F254">
            <v>5</v>
          </cell>
          <cell r="G254">
            <v>4</v>
          </cell>
          <cell r="H254">
            <v>3</v>
          </cell>
          <cell r="I254">
            <v>4</v>
          </cell>
          <cell r="J254">
            <v>8</v>
          </cell>
          <cell r="K254">
            <v>0</v>
          </cell>
        </row>
        <row r="255">
          <cell r="D255">
            <v>51</v>
          </cell>
          <cell r="E255">
            <v>5</v>
          </cell>
          <cell r="F255">
            <v>9</v>
          </cell>
          <cell r="G255">
            <v>9</v>
          </cell>
          <cell r="H255">
            <v>6</v>
          </cell>
          <cell r="I255">
            <v>6</v>
          </cell>
          <cell r="J255">
            <v>16</v>
          </cell>
          <cell r="K255">
            <v>0</v>
          </cell>
        </row>
        <row r="256">
          <cell r="D256">
            <v>23</v>
          </cell>
          <cell r="E256">
            <v>1</v>
          </cell>
          <cell r="F256">
            <v>5</v>
          </cell>
          <cell r="G256">
            <v>5</v>
          </cell>
          <cell r="H256">
            <v>3</v>
          </cell>
          <cell r="I256">
            <v>3</v>
          </cell>
          <cell r="J256">
            <v>6</v>
          </cell>
          <cell r="K256">
            <v>0</v>
          </cell>
        </row>
        <row r="257">
          <cell r="D257">
            <v>233</v>
          </cell>
          <cell r="E257">
            <v>30</v>
          </cell>
          <cell r="F257">
            <v>31</v>
          </cell>
          <cell r="G257">
            <v>25</v>
          </cell>
          <cell r="H257">
            <v>19</v>
          </cell>
          <cell r="I257">
            <v>89</v>
          </cell>
          <cell r="J257">
            <v>28</v>
          </cell>
          <cell r="K257">
            <v>11</v>
          </cell>
        </row>
        <row r="258">
          <cell r="D258">
            <v>543</v>
          </cell>
          <cell r="E258">
            <v>69</v>
          </cell>
          <cell r="F258">
            <v>92</v>
          </cell>
          <cell r="G258">
            <v>53</v>
          </cell>
          <cell r="H258">
            <v>35</v>
          </cell>
          <cell r="I258">
            <v>193</v>
          </cell>
          <cell r="J258">
            <v>70</v>
          </cell>
          <cell r="K258">
            <v>31</v>
          </cell>
        </row>
        <row r="259">
          <cell r="D259">
            <v>225</v>
          </cell>
          <cell r="E259">
            <v>34</v>
          </cell>
          <cell r="F259">
            <v>36</v>
          </cell>
          <cell r="G259">
            <v>25</v>
          </cell>
          <cell r="H259">
            <v>17</v>
          </cell>
          <cell r="I259">
            <v>75</v>
          </cell>
          <cell r="J259">
            <v>28</v>
          </cell>
          <cell r="K259">
            <v>10</v>
          </cell>
        </row>
        <row r="260">
          <cell r="D260">
            <v>94</v>
          </cell>
          <cell r="E260">
            <v>36</v>
          </cell>
          <cell r="F260">
            <v>5</v>
          </cell>
          <cell r="G260">
            <v>8</v>
          </cell>
          <cell r="H260">
            <v>15</v>
          </cell>
          <cell r="I260">
            <v>15</v>
          </cell>
          <cell r="J260">
            <v>10</v>
          </cell>
          <cell r="K260">
            <v>5</v>
          </cell>
        </row>
        <row r="261">
          <cell r="D261">
            <v>158</v>
          </cell>
          <cell r="E261">
            <v>51</v>
          </cell>
          <cell r="F261">
            <v>9</v>
          </cell>
          <cell r="G261">
            <v>14</v>
          </cell>
          <cell r="H261">
            <v>37</v>
          </cell>
          <cell r="I261">
            <v>21</v>
          </cell>
          <cell r="J261">
            <v>20</v>
          </cell>
          <cell r="K261">
            <v>6</v>
          </cell>
        </row>
        <row r="262">
          <cell r="D262">
            <v>77</v>
          </cell>
          <cell r="E262">
            <v>29</v>
          </cell>
          <cell r="F262">
            <v>5</v>
          </cell>
          <cell r="G262">
            <v>8</v>
          </cell>
          <cell r="H262">
            <v>8</v>
          </cell>
          <cell r="I262">
            <v>16</v>
          </cell>
          <cell r="J262">
            <v>10</v>
          </cell>
          <cell r="K262">
            <v>1</v>
          </cell>
        </row>
        <row r="263">
          <cell r="D263">
            <v>436</v>
          </cell>
          <cell r="E263">
            <v>67</v>
          </cell>
          <cell r="F263">
            <v>65</v>
          </cell>
          <cell r="G263">
            <v>60</v>
          </cell>
          <cell r="H263">
            <v>53</v>
          </cell>
          <cell r="I263">
            <v>104</v>
          </cell>
          <cell r="J263">
            <v>55</v>
          </cell>
          <cell r="K263">
            <v>32</v>
          </cell>
        </row>
        <row r="264">
          <cell r="D264">
            <v>566</v>
          </cell>
          <cell r="E264">
            <v>79</v>
          </cell>
          <cell r="F264">
            <v>80</v>
          </cell>
          <cell r="G264">
            <v>72</v>
          </cell>
          <cell r="H264">
            <v>64</v>
          </cell>
          <cell r="I264">
            <v>127</v>
          </cell>
          <cell r="J264">
            <v>105</v>
          </cell>
          <cell r="K264">
            <v>39</v>
          </cell>
        </row>
        <row r="265">
          <cell r="D265">
            <v>256</v>
          </cell>
          <cell r="E265">
            <v>28</v>
          </cell>
          <cell r="F265">
            <v>32</v>
          </cell>
          <cell r="G265">
            <v>35</v>
          </cell>
          <cell r="H265">
            <v>32</v>
          </cell>
          <cell r="I265">
            <v>36</v>
          </cell>
          <cell r="J265">
            <v>79</v>
          </cell>
          <cell r="K265">
            <v>14</v>
          </cell>
        </row>
        <row r="266">
          <cell r="D266">
            <v>716</v>
          </cell>
          <cell r="E266">
            <v>134</v>
          </cell>
          <cell r="F266">
            <v>74</v>
          </cell>
          <cell r="G266">
            <v>86</v>
          </cell>
          <cell r="H266">
            <v>87</v>
          </cell>
          <cell r="I266">
            <v>174</v>
          </cell>
          <cell r="J266">
            <v>107</v>
          </cell>
          <cell r="K266">
            <v>54</v>
          </cell>
        </row>
        <row r="267">
          <cell r="D267">
            <v>1293</v>
          </cell>
          <cell r="E267">
            <v>226</v>
          </cell>
          <cell r="F267">
            <v>158</v>
          </cell>
          <cell r="G267">
            <v>173</v>
          </cell>
          <cell r="H267">
            <v>149</v>
          </cell>
          <cell r="I267">
            <v>299</v>
          </cell>
          <cell r="J267">
            <v>213</v>
          </cell>
          <cell r="K267">
            <v>75</v>
          </cell>
        </row>
        <row r="268">
          <cell r="D268">
            <v>833</v>
          </cell>
          <cell r="E268">
            <v>142</v>
          </cell>
          <cell r="F268">
            <v>96</v>
          </cell>
          <cell r="G268">
            <v>107</v>
          </cell>
          <cell r="H268">
            <v>87</v>
          </cell>
          <cell r="I268">
            <v>198</v>
          </cell>
          <cell r="J268">
            <v>145</v>
          </cell>
          <cell r="K268">
            <v>58</v>
          </cell>
        </row>
        <row r="269">
          <cell r="D269">
            <v>76</v>
          </cell>
          <cell r="E269">
            <v>8</v>
          </cell>
          <cell r="F269">
            <v>4</v>
          </cell>
          <cell r="G269">
            <v>0</v>
          </cell>
          <cell r="H269">
            <v>10</v>
          </cell>
          <cell r="I269">
            <v>29</v>
          </cell>
          <cell r="J269">
            <v>15</v>
          </cell>
          <cell r="K269">
            <v>10</v>
          </cell>
        </row>
        <row r="270">
          <cell r="D270">
            <v>206</v>
          </cell>
          <cell r="E270">
            <v>30</v>
          </cell>
          <cell r="F270">
            <v>4</v>
          </cell>
          <cell r="G270">
            <v>0</v>
          </cell>
          <cell r="H270">
            <v>26</v>
          </cell>
          <cell r="I270">
            <v>65</v>
          </cell>
          <cell r="J270">
            <v>71</v>
          </cell>
          <cell r="K270">
            <v>10</v>
          </cell>
        </row>
        <row r="271">
          <cell r="D271">
            <v>121</v>
          </cell>
          <cell r="E271">
            <v>23</v>
          </cell>
          <cell r="F271">
            <v>0</v>
          </cell>
          <cell r="G271">
            <v>0</v>
          </cell>
          <cell r="H271">
            <v>19</v>
          </cell>
          <cell r="I271">
            <v>33</v>
          </cell>
          <cell r="J271">
            <v>46</v>
          </cell>
          <cell r="K271">
            <v>0</v>
          </cell>
        </row>
        <row r="272">
          <cell r="D272">
            <v>630</v>
          </cell>
          <cell r="E272">
            <v>105</v>
          </cell>
          <cell r="F272">
            <v>98</v>
          </cell>
          <cell r="G272">
            <v>114</v>
          </cell>
          <cell r="H272">
            <v>47</v>
          </cell>
          <cell r="I272">
            <v>181</v>
          </cell>
          <cell r="J272">
            <v>57</v>
          </cell>
          <cell r="K272">
            <v>28</v>
          </cell>
        </row>
        <row r="273">
          <cell r="D273">
            <v>859</v>
          </cell>
          <cell r="E273">
            <v>130</v>
          </cell>
          <cell r="F273">
            <v>121</v>
          </cell>
          <cell r="G273">
            <v>159</v>
          </cell>
          <cell r="H273">
            <v>63</v>
          </cell>
          <cell r="I273">
            <v>256</v>
          </cell>
          <cell r="J273">
            <v>86</v>
          </cell>
          <cell r="K273">
            <v>44</v>
          </cell>
        </row>
        <row r="274">
          <cell r="D274">
            <v>194</v>
          </cell>
          <cell r="E274">
            <v>16</v>
          </cell>
          <cell r="F274">
            <v>30</v>
          </cell>
          <cell r="G274">
            <v>52</v>
          </cell>
          <cell r="H274">
            <v>10</v>
          </cell>
          <cell r="I274">
            <v>36</v>
          </cell>
          <cell r="J274">
            <v>41</v>
          </cell>
          <cell r="K274">
            <v>9</v>
          </cell>
        </row>
        <row r="275">
          <cell r="D275">
            <v>141</v>
          </cell>
          <cell r="E275">
            <v>18</v>
          </cell>
          <cell r="F275">
            <v>26</v>
          </cell>
          <cell r="G275">
            <v>11</v>
          </cell>
          <cell r="H275">
            <v>10</v>
          </cell>
          <cell r="I275">
            <v>47</v>
          </cell>
          <cell r="J275">
            <v>21</v>
          </cell>
          <cell r="K275">
            <v>8</v>
          </cell>
        </row>
        <row r="276">
          <cell r="D276">
            <v>271</v>
          </cell>
          <cell r="E276">
            <v>43</v>
          </cell>
          <cell r="F276">
            <v>46</v>
          </cell>
          <cell r="G276">
            <v>14</v>
          </cell>
          <cell r="H276">
            <v>17</v>
          </cell>
          <cell r="I276">
            <v>89</v>
          </cell>
          <cell r="J276">
            <v>45</v>
          </cell>
          <cell r="K276">
            <v>17</v>
          </cell>
        </row>
        <row r="277">
          <cell r="D277">
            <v>91</v>
          </cell>
          <cell r="E277">
            <v>15</v>
          </cell>
          <cell r="F277">
            <v>9</v>
          </cell>
          <cell r="G277">
            <v>2</v>
          </cell>
          <cell r="H277">
            <v>10</v>
          </cell>
          <cell r="I277">
            <v>31</v>
          </cell>
          <cell r="J277">
            <v>18</v>
          </cell>
          <cell r="K277">
            <v>6</v>
          </cell>
        </row>
        <row r="278">
          <cell r="D278">
            <v>134</v>
          </cell>
          <cell r="E278">
            <v>16</v>
          </cell>
          <cell r="F278">
            <v>25</v>
          </cell>
          <cell r="G278">
            <v>20</v>
          </cell>
          <cell r="H278">
            <v>10</v>
          </cell>
          <cell r="I278">
            <v>37</v>
          </cell>
          <cell r="J278">
            <v>18</v>
          </cell>
          <cell r="K278">
            <v>8</v>
          </cell>
        </row>
        <row r="279">
          <cell r="D279">
            <v>175</v>
          </cell>
          <cell r="E279">
            <v>17</v>
          </cell>
          <cell r="F279">
            <v>37</v>
          </cell>
          <cell r="G279">
            <v>24</v>
          </cell>
          <cell r="H279">
            <v>15</v>
          </cell>
          <cell r="I279">
            <v>49</v>
          </cell>
          <cell r="J279">
            <v>25</v>
          </cell>
          <cell r="K279">
            <v>8</v>
          </cell>
        </row>
        <row r="280">
          <cell r="D280">
            <v>40</v>
          </cell>
          <cell r="E280">
            <v>1</v>
          </cell>
          <cell r="F280">
            <v>12</v>
          </cell>
          <cell r="G280">
            <v>4</v>
          </cell>
          <cell r="H280">
            <v>1</v>
          </cell>
          <cell r="I280">
            <v>13</v>
          </cell>
          <cell r="J280">
            <v>9</v>
          </cell>
          <cell r="K280">
            <v>0</v>
          </cell>
        </row>
        <row r="281">
          <cell r="D281">
            <v>175</v>
          </cell>
          <cell r="E281">
            <v>51</v>
          </cell>
          <cell r="F281">
            <v>18</v>
          </cell>
          <cell r="G281">
            <v>26</v>
          </cell>
          <cell r="H281">
            <v>9</v>
          </cell>
          <cell r="I281">
            <v>43</v>
          </cell>
          <cell r="J281">
            <v>23</v>
          </cell>
          <cell r="K281">
            <v>5</v>
          </cell>
        </row>
        <row r="282">
          <cell r="D282">
            <v>269</v>
          </cell>
          <cell r="E282">
            <v>86</v>
          </cell>
          <cell r="F282">
            <v>20</v>
          </cell>
          <cell r="G282">
            <v>38</v>
          </cell>
          <cell r="H282">
            <v>16</v>
          </cell>
          <cell r="I282">
            <v>65</v>
          </cell>
          <cell r="J282">
            <v>39</v>
          </cell>
          <cell r="K282">
            <v>5</v>
          </cell>
        </row>
        <row r="283">
          <cell r="D283">
            <v>149</v>
          </cell>
          <cell r="E283">
            <v>51</v>
          </cell>
          <cell r="F283">
            <v>12</v>
          </cell>
          <cell r="G283">
            <v>16</v>
          </cell>
          <cell r="H283">
            <v>8</v>
          </cell>
          <cell r="I283">
            <v>39</v>
          </cell>
          <cell r="J283">
            <v>20</v>
          </cell>
          <cell r="K283">
            <v>3</v>
          </cell>
        </row>
        <row r="284">
          <cell r="D284">
            <v>46</v>
          </cell>
          <cell r="E284">
            <v>11</v>
          </cell>
          <cell r="F284">
            <v>4</v>
          </cell>
          <cell r="G284">
            <v>5</v>
          </cell>
          <cell r="H284">
            <v>7</v>
          </cell>
          <cell r="I284">
            <v>7</v>
          </cell>
          <cell r="J284">
            <v>11</v>
          </cell>
          <cell r="K284">
            <v>1</v>
          </cell>
        </row>
        <row r="285">
          <cell r="D285">
            <v>142</v>
          </cell>
          <cell r="E285">
            <v>31</v>
          </cell>
          <cell r="F285">
            <v>6</v>
          </cell>
          <cell r="G285">
            <v>7</v>
          </cell>
          <cell r="H285">
            <v>14</v>
          </cell>
          <cell r="I285">
            <v>12</v>
          </cell>
          <cell r="J285">
            <v>68</v>
          </cell>
          <cell r="K285">
            <v>4</v>
          </cell>
        </row>
        <row r="286">
          <cell r="D286">
            <v>92</v>
          </cell>
          <cell r="E286">
            <v>18</v>
          </cell>
          <cell r="F286">
            <v>3</v>
          </cell>
          <cell r="G286">
            <v>3</v>
          </cell>
          <cell r="H286">
            <v>7</v>
          </cell>
          <cell r="I286">
            <v>11</v>
          </cell>
          <cell r="J286">
            <v>47</v>
          </cell>
          <cell r="K286">
            <v>3</v>
          </cell>
        </row>
        <row r="287">
          <cell r="D287">
            <v>15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3</v>
          </cell>
          <cell r="J287">
            <v>12</v>
          </cell>
          <cell r="K287">
            <v>0</v>
          </cell>
        </row>
        <row r="288">
          <cell r="D288">
            <v>99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31</v>
          </cell>
          <cell r="J288">
            <v>68</v>
          </cell>
          <cell r="K288">
            <v>0</v>
          </cell>
        </row>
        <row r="289">
          <cell r="D289">
            <v>56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19</v>
          </cell>
          <cell r="J289">
            <v>37</v>
          </cell>
          <cell r="K289">
            <v>0</v>
          </cell>
        </row>
        <row r="290">
          <cell r="D290">
            <v>100</v>
          </cell>
          <cell r="E290">
            <v>16</v>
          </cell>
          <cell r="F290">
            <v>4</v>
          </cell>
          <cell r="G290">
            <v>0</v>
          </cell>
          <cell r="H290">
            <v>23</v>
          </cell>
          <cell r="I290">
            <v>20</v>
          </cell>
          <cell r="J290">
            <v>35</v>
          </cell>
          <cell r="K290">
            <v>2</v>
          </cell>
        </row>
        <row r="291">
          <cell r="D291">
            <v>238</v>
          </cell>
          <cell r="E291">
            <v>37</v>
          </cell>
          <cell r="F291">
            <v>7</v>
          </cell>
          <cell r="G291">
            <v>0</v>
          </cell>
          <cell r="H291">
            <v>69</v>
          </cell>
          <cell r="I291">
            <v>26</v>
          </cell>
          <cell r="J291">
            <v>95</v>
          </cell>
          <cell r="K291">
            <v>4</v>
          </cell>
        </row>
        <row r="292">
          <cell r="D292">
            <v>147</v>
          </cell>
          <cell r="E292">
            <v>21</v>
          </cell>
          <cell r="F292">
            <v>3</v>
          </cell>
          <cell r="G292">
            <v>0</v>
          </cell>
          <cell r="H292">
            <v>37</v>
          </cell>
          <cell r="I292">
            <v>24</v>
          </cell>
          <cell r="J292">
            <v>60</v>
          </cell>
          <cell r="K292">
            <v>2</v>
          </cell>
        </row>
        <row r="293">
          <cell r="B293" t="str">
            <v>ចំនួនសរុបទីតាំងលក់ទំនិញនិងសេវាកម្មទាំងអស់លើកលែងផ្សារ</v>
          </cell>
          <cell r="D293">
            <v>5860</v>
          </cell>
          <cell r="E293">
            <v>983</v>
          </cell>
          <cell r="F293">
            <v>796</v>
          </cell>
          <cell r="G293">
            <v>850</v>
          </cell>
          <cell r="H293">
            <v>553</v>
          </cell>
          <cell r="I293">
            <v>1510</v>
          </cell>
          <cell r="J293">
            <v>778</v>
          </cell>
          <cell r="K293">
            <v>390</v>
          </cell>
        </row>
        <row r="294">
          <cell r="B294" t="str">
            <v>ចំនួនសរុបកម្មករធ្វើការនៅតាមទីតាំងលក់ទំនិញនិងសេវាកម្មទាំងអស់លើកលែងផ្សារ</v>
          </cell>
          <cell r="D294">
            <v>9696</v>
          </cell>
          <cell r="E294">
            <v>1581</v>
          </cell>
          <cell r="F294">
            <v>1285</v>
          </cell>
          <cell r="G294">
            <v>1422</v>
          </cell>
          <cell r="H294">
            <v>915</v>
          </cell>
          <cell r="I294">
            <v>2274</v>
          </cell>
          <cell r="J294">
            <v>1594</v>
          </cell>
          <cell r="K294">
            <v>625</v>
          </cell>
        </row>
        <row r="295">
          <cell r="B295" t="str">
            <v>ចំនួនសរុបកម្មករស្រីធ្វើការនៅតាមទីតាំងលក់ទំនិញនិងសេវាកម្មទាំងអស់លើកលែងផ្សារ</v>
          </cell>
          <cell r="D295">
            <v>5514</v>
          </cell>
          <cell r="E295">
            <v>905</v>
          </cell>
          <cell r="F295">
            <v>686</v>
          </cell>
          <cell r="G295">
            <v>817</v>
          </cell>
          <cell r="H295">
            <v>509</v>
          </cell>
          <cell r="I295">
            <v>1303</v>
          </cell>
          <cell r="J295">
            <v>928</v>
          </cell>
          <cell r="K295">
            <v>366</v>
          </cell>
        </row>
        <row r="296">
          <cell r="A296" t="str">
            <v>១១. កសិកម្មនិងធនធាន</v>
          </cell>
        </row>
        <row r="297">
          <cell r="D297">
            <v>16685</v>
          </cell>
          <cell r="E297">
            <v>3111</v>
          </cell>
          <cell r="F297">
            <v>3819</v>
          </cell>
          <cell r="G297">
            <v>4833</v>
          </cell>
          <cell r="H297">
            <v>1378</v>
          </cell>
          <cell r="I297">
            <v>1816</v>
          </cell>
          <cell r="J297">
            <v>905</v>
          </cell>
          <cell r="K297">
            <v>823</v>
          </cell>
        </row>
        <row r="298">
          <cell r="D298">
            <v>5746</v>
          </cell>
          <cell r="E298">
            <v>899</v>
          </cell>
          <cell r="F298">
            <v>1523</v>
          </cell>
          <cell r="G298">
            <v>1265</v>
          </cell>
          <cell r="H298">
            <v>660</v>
          </cell>
          <cell r="I298">
            <v>559</v>
          </cell>
          <cell r="J298">
            <v>348</v>
          </cell>
          <cell r="K298">
            <v>492</v>
          </cell>
        </row>
        <row r="299">
          <cell r="D299">
            <v>7785</v>
          </cell>
          <cell r="E299">
            <v>3107</v>
          </cell>
          <cell r="F299">
            <v>1340</v>
          </cell>
          <cell r="G299">
            <v>1957</v>
          </cell>
          <cell r="H299">
            <v>62</v>
          </cell>
          <cell r="I299">
            <v>629</v>
          </cell>
          <cell r="J299">
            <v>569</v>
          </cell>
          <cell r="K299">
            <v>121</v>
          </cell>
        </row>
        <row r="300">
          <cell r="D300">
            <v>2980</v>
          </cell>
          <cell r="E300">
            <v>16</v>
          </cell>
          <cell r="F300">
            <v>189</v>
          </cell>
          <cell r="G300">
            <v>784</v>
          </cell>
          <cell r="H300">
            <v>888</v>
          </cell>
          <cell r="I300">
            <v>743</v>
          </cell>
          <cell r="J300">
            <v>0</v>
          </cell>
          <cell r="K300">
            <v>360</v>
          </cell>
        </row>
        <row r="301">
          <cell r="D301">
            <v>440</v>
          </cell>
          <cell r="E301">
            <v>52</v>
          </cell>
          <cell r="F301">
            <v>59</v>
          </cell>
          <cell r="G301">
            <v>182</v>
          </cell>
          <cell r="H301">
            <v>29</v>
          </cell>
          <cell r="I301">
            <v>78</v>
          </cell>
          <cell r="J301">
            <v>40</v>
          </cell>
          <cell r="K301">
            <v>0</v>
          </cell>
        </row>
        <row r="302">
          <cell r="D302">
            <v>430</v>
          </cell>
          <cell r="E302">
            <v>45</v>
          </cell>
          <cell r="F302">
            <v>59</v>
          </cell>
          <cell r="G302">
            <v>176</v>
          </cell>
          <cell r="H302">
            <v>16</v>
          </cell>
          <cell r="I302">
            <v>78</v>
          </cell>
          <cell r="J302">
            <v>56</v>
          </cell>
          <cell r="K302">
            <v>0</v>
          </cell>
        </row>
        <row r="303">
          <cell r="D303">
            <v>2.2400000000000002</v>
          </cell>
          <cell r="E303">
            <v>3.02</v>
          </cell>
          <cell r="F303">
            <v>2.31</v>
          </cell>
          <cell r="G303">
            <v>2.57</v>
          </cell>
          <cell r="H303">
            <v>1.62</v>
          </cell>
          <cell r="I303">
            <v>1.78</v>
          </cell>
          <cell r="J303">
            <v>2.71</v>
          </cell>
          <cell r="K303">
            <v>1.68</v>
          </cell>
        </row>
        <row r="304">
          <cell r="D304">
            <v>3.28</v>
          </cell>
          <cell r="E304">
            <v>4.3899999999999997</v>
          </cell>
          <cell r="F304">
            <v>3.53</v>
          </cell>
          <cell r="G304">
            <v>3.4</v>
          </cell>
          <cell r="H304">
            <v>2.17</v>
          </cell>
          <cell r="I304">
            <v>1.97</v>
          </cell>
          <cell r="J304">
            <v>4.2300000000000004</v>
          </cell>
        </row>
        <row r="305">
          <cell r="D305">
            <v>858</v>
          </cell>
          <cell r="E305">
            <v>790.85</v>
          </cell>
          <cell r="F305">
            <v>871.59</v>
          </cell>
          <cell r="G305">
            <v>905.49</v>
          </cell>
          <cell r="H305">
            <v>871.18</v>
          </cell>
          <cell r="I305">
            <v>803.18</v>
          </cell>
          <cell r="J305">
            <v>1009.29</v>
          </cell>
          <cell r="K305">
            <v>754.4</v>
          </cell>
        </row>
        <row r="306">
          <cell r="D306">
            <v>629.59</v>
          </cell>
          <cell r="E306">
            <v>622.13</v>
          </cell>
          <cell r="F306">
            <v>628.84</v>
          </cell>
          <cell r="G306">
            <v>656.86</v>
          </cell>
          <cell r="H306">
            <v>584.41</v>
          </cell>
          <cell r="I306">
            <v>630.29999999999995</v>
          </cell>
          <cell r="J306">
            <v>681.79</v>
          </cell>
          <cell r="K306">
            <v>602.79999999999995</v>
          </cell>
        </row>
        <row r="307">
          <cell r="D307">
            <v>10604</v>
          </cell>
          <cell r="E307">
            <v>1264</v>
          </cell>
          <cell r="F307">
            <v>2650</v>
          </cell>
          <cell r="G307">
            <v>3158</v>
          </cell>
          <cell r="H307">
            <v>517</v>
          </cell>
          <cell r="I307">
            <v>2176</v>
          </cell>
          <cell r="J307">
            <v>346</v>
          </cell>
          <cell r="K307">
            <v>493</v>
          </cell>
        </row>
        <row r="308">
          <cell r="D308">
            <v>5679</v>
          </cell>
          <cell r="E308">
            <v>912</v>
          </cell>
          <cell r="F308">
            <v>1397</v>
          </cell>
          <cell r="G308">
            <v>1352</v>
          </cell>
          <cell r="H308">
            <v>418</v>
          </cell>
          <cell r="I308">
            <v>1134</v>
          </cell>
          <cell r="J308">
            <v>171</v>
          </cell>
          <cell r="K308">
            <v>295</v>
          </cell>
        </row>
        <row r="309">
          <cell r="D309">
            <v>51158</v>
          </cell>
          <cell r="E309">
            <v>8535</v>
          </cell>
          <cell r="F309">
            <v>7416</v>
          </cell>
          <cell r="G309">
            <v>10617</v>
          </cell>
          <cell r="H309">
            <v>4688</v>
          </cell>
          <cell r="I309">
            <v>13282</v>
          </cell>
          <cell r="J309">
            <v>1635</v>
          </cell>
          <cell r="K309">
            <v>4985</v>
          </cell>
        </row>
        <row r="310">
          <cell r="D310">
            <v>8029</v>
          </cell>
          <cell r="E310">
            <v>929</v>
          </cell>
          <cell r="F310">
            <v>2061</v>
          </cell>
          <cell r="G310">
            <v>1755</v>
          </cell>
          <cell r="H310">
            <v>532</v>
          </cell>
          <cell r="I310">
            <v>1920</v>
          </cell>
          <cell r="J310">
            <v>120</v>
          </cell>
          <cell r="K310">
            <v>712</v>
          </cell>
        </row>
        <row r="311">
          <cell r="D311">
            <v>58766</v>
          </cell>
          <cell r="E311">
            <v>8982</v>
          </cell>
          <cell r="F311">
            <v>9730</v>
          </cell>
          <cell r="G311">
            <v>11654</v>
          </cell>
          <cell r="H311">
            <v>6052</v>
          </cell>
          <cell r="I311">
            <v>14528</v>
          </cell>
          <cell r="J311">
            <v>1596</v>
          </cell>
          <cell r="K311">
            <v>6224</v>
          </cell>
        </row>
        <row r="312">
          <cell r="D312">
            <v>4648</v>
          </cell>
          <cell r="E312">
            <v>354</v>
          </cell>
          <cell r="F312">
            <v>946</v>
          </cell>
          <cell r="G312">
            <v>1095</v>
          </cell>
          <cell r="H312">
            <v>525</v>
          </cell>
          <cell r="I312">
            <v>1041</v>
          </cell>
          <cell r="J312">
            <v>177</v>
          </cell>
          <cell r="K312">
            <v>510</v>
          </cell>
        </row>
        <row r="313">
          <cell r="A313" t="str">
            <v>១២. គ្រឿងយន្តកសិកម្ម</v>
          </cell>
        </row>
        <row r="314">
          <cell r="D314">
            <v>1723</v>
          </cell>
          <cell r="E314">
            <v>221</v>
          </cell>
          <cell r="F314">
            <v>381</v>
          </cell>
          <cell r="G314">
            <v>370</v>
          </cell>
          <cell r="H314">
            <v>150</v>
          </cell>
          <cell r="I314">
            <v>399</v>
          </cell>
          <cell r="J314">
            <v>50</v>
          </cell>
          <cell r="K314">
            <v>152</v>
          </cell>
        </row>
        <row r="315">
          <cell r="D315">
            <v>18869</v>
          </cell>
          <cell r="E315">
            <v>1762</v>
          </cell>
          <cell r="F315">
            <v>6333</v>
          </cell>
          <cell r="G315">
            <v>2045</v>
          </cell>
          <cell r="H315">
            <v>2012</v>
          </cell>
          <cell r="I315">
            <v>3109</v>
          </cell>
          <cell r="J315">
            <v>419</v>
          </cell>
          <cell r="K315">
            <v>3189</v>
          </cell>
        </row>
        <row r="316"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</row>
        <row r="317">
          <cell r="D317">
            <v>193</v>
          </cell>
          <cell r="E317">
            <v>12</v>
          </cell>
          <cell r="F317">
            <v>61</v>
          </cell>
          <cell r="G317">
            <v>59</v>
          </cell>
          <cell r="H317">
            <v>18</v>
          </cell>
          <cell r="I317">
            <v>22</v>
          </cell>
          <cell r="J317">
            <v>5</v>
          </cell>
          <cell r="K317">
            <v>16</v>
          </cell>
        </row>
        <row r="318">
          <cell r="D318">
            <v>629</v>
          </cell>
          <cell r="E318">
            <v>38</v>
          </cell>
          <cell r="F318">
            <v>131</v>
          </cell>
          <cell r="G318">
            <v>79</v>
          </cell>
          <cell r="H318">
            <v>106</v>
          </cell>
          <cell r="I318">
            <v>118</v>
          </cell>
          <cell r="J318">
            <v>5</v>
          </cell>
          <cell r="K318">
            <v>152</v>
          </cell>
        </row>
        <row r="319">
          <cell r="D319">
            <v>156</v>
          </cell>
          <cell r="E319">
            <v>5</v>
          </cell>
          <cell r="F319">
            <v>36</v>
          </cell>
          <cell r="G319">
            <v>28</v>
          </cell>
          <cell r="H319">
            <v>28</v>
          </cell>
          <cell r="I319">
            <v>34</v>
          </cell>
          <cell r="J319">
            <v>14</v>
          </cell>
          <cell r="K319">
            <v>11</v>
          </cell>
        </row>
        <row r="320">
          <cell r="D320">
            <v>29</v>
          </cell>
          <cell r="E320">
            <v>0</v>
          </cell>
          <cell r="F320">
            <v>2</v>
          </cell>
          <cell r="G320">
            <v>7</v>
          </cell>
          <cell r="H320">
            <v>2</v>
          </cell>
          <cell r="I320">
            <v>12</v>
          </cell>
          <cell r="J320">
            <v>5</v>
          </cell>
          <cell r="K320">
            <v>1</v>
          </cell>
        </row>
        <row r="321">
          <cell r="D321">
            <v>24</v>
          </cell>
          <cell r="E321">
            <v>0</v>
          </cell>
          <cell r="F321">
            <v>4</v>
          </cell>
          <cell r="G321">
            <v>20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</row>
        <row r="322">
          <cell r="D322">
            <v>12</v>
          </cell>
          <cell r="E322">
            <v>1</v>
          </cell>
          <cell r="F322">
            <v>5</v>
          </cell>
          <cell r="G322">
            <v>6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</row>
        <row r="323">
          <cell r="D323">
            <v>3</v>
          </cell>
          <cell r="E323">
            <v>0</v>
          </cell>
          <cell r="F323">
            <v>2</v>
          </cell>
          <cell r="G323">
            <v>0</v>
          </cell>
          <cell r="H323">
            <v>0</v>
          </cell>
          <cell r="I323">
            <v>1</v>
          </cell>
          <cell r="J323">
            <v>0</v>
          </cell>
          <cell r="K323">
            <v>0</v>
          </cell>
        </row>
        <row r="324">
          <cell r="D324">
            <v>1631</v>
          </cell>
          <cell r="E324">
            <v>202</v>
          </cell>
          <cell r="F324">
            <v>355</v>
          </cell>
          <cell r="G324">
            <v>350</v>
          </cell>
          <cell r="H324">
            <v>146</v>
          </cell>
          <cell r="I324">
            <v>388</v>
          </cell>
          <cell r="J324">
            <v>45</v>
          </cell>
          <cell r="K324">
            <v>145</v>
          </cell>
        </row>
        <row r="325">
          <cell r="D325">
            <v>18745</v>
          </cell>
          <cell r="E325">
            <v>1760</v>
          </cell>
          <cell r="F325">
            <v>6258</v>
          </cell>
          <cell r="G325">
            <v>2035</v>
          </cell>
          <cell r="H325">
            <v>2012</v>
          </cell>
          <cell r="I325">
            <v>3084</v>
          </cell>
          <cell r="J325">
            <v>417</v>
          </cell>
          <cell r="K325">
            <v>3179</v>
          </cell>
        </row>
        <row r="326"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</row>
        <row r="327">
          <cell r="D327">
            <v>183</v>
          </cell>
          <cell r="E327">
            <v>11</v>
          </cell>
          <cell r="F327">
            <v>56</v>
          </cell>
          <cell r="G327">
            <v>59</v>
          </cell>
          <cell r="H327">
            <v>18</v>
          </cell>
          <cell r="I327">
            <v>21</v>
          </cell>
          <cell r="J327">
            <v>5</v>
          </cell>
          <cell r="K327">
            <v>13</v>
          </cell>
        </row>
        <row r="328">
          <cell r="D328">
            <v>629</v>
          </cell>
          <cell r="E328">
            <v>38</v>
          </cell>
          <cell r="F328">
            <v>131</v>
          </cell>
          <cell r="G328">
            <v>79</v>
          </cell>
          <cell r="H328">
            <v>106</v>
          </cell>
          <cell r="I328">
            <v>118</v>
          </cell>
          <cell r="J328">
            <v>5</v>
          </cell>
          <cell r="K328">
            <v>152</v>
          </cell>
        </row>
        <row r="329">
          <cell r="D329">
            <v>138</v>
          </cell>
          <cell r="E329">
            <v>5</v>
          </cell>
          <cell r="F329">
            <v>34</v>
          </cell>
          <cell r="G329">
            <v>25</v>
          </cell>
          <cell r="H329">
            <v>26</v>
          </cell>
          <cell r="I329">
            <v>26</v>
          </cell>
          <cell r="J329">
            <v>11</v>
          </cell>
          <cell r="K329">
            <v>11</v>
          </cell>
        </row>
        <row r="330">
          <cell r="D330">
            <v>29</v>
          </cell>
          <cell r="E330">
            <v>0</v>
          </cell>
          <cell r="F330">
            <v>2</v>
          </cell>
          <cell r="G330">
            <v>7</v>
          </cell>
          <cell r="H330">
            <v>2</v>
          </cell>
          <cell r="I330">
            <v>12</v>
          </cell>
          <cell r="J330">
            <v>5</v>
          </cell>
          <cell r="K330">
            <v>1</v>
          </cell>
        </row>
        <row r="331">
          <cell r="D331">
            <v>24</v>
          </cell>
          <cell r="E331">
            <v>0</v>
          </cell>
          <cell r="F331">
            <v>4</v>
          </cell>
          <cell r="G331">
            <v>20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</row>
        <row r="332">
          <cell r="D332">
            <v>12</v>
          </cell>
          <cell r="E332">
            <v>1</v>
          </cell>
          <cell r="F332">
            <v>5</v>
          </cell>
          <cell r="G332">
            <v>6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</row>
        <row r="333">
          <cell r="D333">
            <v>3</v>
          </cell>
          <cell r="E333">
            <v>0</v>
          </cell>
          <cell r="F333">
            <v>2</v>
          </cell>
          <cell r="G333">
            <v>0</v>
          </cell>
          <cell r="H333">
            <v>0</v>
          </cell>
          <cell r="I333">
            <v>1</v>
          </cell>
          <cell r="J333">
            <v>0</v>
          </cell>
          <cell r="K333">
            <v>0</v>
          </cell>
        </row>
        <row r="334">
          <cell r="A334" t="str">
            <v>១៣. រថយន្ត កង់ ម៉ូតូ</v>
          </cell>
        </row>
        <row r="335">
          <cell r="D335">
            <v>673</v>
          </cell>
          <cell r="E335">
            <v>174</v>
          </cell>
          <cell r="F335">
            <v>51</v>
          </cell>
          <cell r="G335">
            <v>86</v>
          </cell>
          <cell r="H335">
            <v>44</v>
          </cell>
          <cell r="I335">
            <v>233</v>
          </cell>
          <cell r="J335">
            <v>15</v>
          </cell>
          <cell r="K335">
            <v>70</v>
          </cell>
        </row>
        <row r="336">
          <cell r="D336">
            <v>785</v>
          </cell>
          <cell r="E336">
            <v>102</v>
          </cell>
          <cell r="F336">
            <v>109</v>
          </cell>
          <cell r="G336">
            <v>121</v>
          </cell>
          <cell r="H336">
            <v>55</v>
          </cell>
          <cell r="I336">
            <v>296</v>
          </cell>
          <cell r="J336">
            <v>64</v>
          </cell>
          <cell r="K336">
            <v>38</v>
          </cell>
        </row>
        <row r="337">
          <cell r="D337">
            <v>571</v>
          </cell>
          <cell r="E337">
            <v>74</v>
          </cell>
          <cell r="F337">
            <v>107</v>
          </cell>
          <cell r="G337">
            <v>81</v>
          </cell>
          <cell r="H337">
            <v>27</v>
          </cell>
          <cell r="I337">
            <v>176</v>
          </cell>
          <cell r="J337">
            <v>65</v>
          </cell>
          <cell r="K337">
            <v>41</v>
          </cell>
        </row>
        <row r="338">
          <cell r="D338">
            <v>495</v>
          </cell>
          <cell r="E338">
            <v>53</v>
          </cell>
          <cell r="F338">
            <v>69</v>
          </cell>
          <cell r="G338">
            <v>71</v>
          </cell>
          <cell r="H338">
            <v>66</v>
          </cell>
          <cell r="I338">
            <v>101</v>
          </cell>
          <cell r="J338">
            <v>93</v>
          </cell>
          <cell r="K338">
            <v>42</v>
          </cell>
        </row>
        <row r="339">
          <cell r="D339">
            <v>100</v>
          </cell>
          <cell r="E339">
            <v>22</v>
          </cell>
          <cell r="F339">
            <v>8</v>
          </cell>
          <cell r="G339">
            <v>1</v>
          </cell>
          <cell r="H339">
            <v>11</v>
          </cell>
          <cell r="I339">
            <v>35</v>
          </cell>
          <cell r="J339">
            <v>21</v>
          </cell>
          <cell r="K339">
            <v>2</v>
          </cell>
        </row>
        <row r="340">
          <cell r="D340">
            <v>6140</v>
          </cell>
          <cell r="E340">
            <v>749</v>
          </cell>
          <cell r="F340">
            <v>727</v>
          </cell>
          <cell r="G340">
            <v>885</v>
          </cell>
          <cell r="H340">
            <v>551</v>
          </cell>
          <cell r="I340">
            <v>1290</v>
          </cell>
          <cell r="J340">
            <v>1591</v>
          </cell>
          <cell r="K340">
            <v>347</v>
          </cell>
        </row>
        <row r="341">
          <cell r="D341">
            <v>531</v>
          </cell>
          <cell r="E341">
            <v>5</v>
          </cell>
          <cell r="F341">
            <v>25</v>
          </cell>
          <cell r="G341">
            <v>31</v>
          </cell>
          <cell r="H341">
            <v>67</v>
          </cell>
          <cell r="I341">
            <v>143</v>
          </cell>
          <cell r="J341">
            <v>213</v>
          </cell>
          <cell r="K341">
            <v>47</v>
          </cell>
        </row>
        <row r="342">
          <cell r="D342">
            <v>650</v>
          </cell>
          <cell r="E342">
            <v>165</v>
          </cell>
          <cell r="F342">
            <v>50</v>
          </cell>
          <cell r="G342">
            <v>80</v>
          </cell>
          <cell r="H342">
            <v>44</v>
          </cell>
          <cell r="I342">
            <v>229</v>
          </cell>
          <cell r="J342">
            <v>12</v>
          </cell>
          <cell r="K342">
            <v>70</v>
          </cell>
        </row>
        <row r="343">
          <cell r="D343">
            <v>755</v>
          </cell>
          <cell r="E343">
            <v>100</v>
          </cell>
          <cell r="F343">
            <v>107</v>
          </cell>
          <cell r="G343">
            <v>119</v>
          </cell>
          <cell r="H343">
            <v>54</v>
          </cell>
          <cell r="I343">
            <v>279</v>
          </cell>
          <cell r="J343">
            <v>60</v>
          </cell>
          <cell r="K343">
            <v>36</v>
          </cell>
        </row>
        <row r="344">
          <cell r="D344">
            <v>481</v>
          </cell>
          <cell r="E344">
            <v>68</v>
          </cell>
          <cell r="F344">
            <v>81</v>
          </cell>
          <cell r="G344">
            <v>70</v>
          </cell>
          <cell r="H344">
            <v>22</v>
          </cell>
          <cell r="I344">
            <v>148</v>
          </cell>
          <cell r="J344">
            <v>51</v>
          </cell>
          <cell r="K344">
            <v>41</v>
          </cell>
        </row>
        <row r="345">
          <cell r="D345">
            <v>470</v>
          </cell>
          <cell r="E345">
            <v>51</v>
          </cell>
          <cell r="F345">
            <v>59</v>
          </cell>
          <cell r="G345">
            <v>64</v>
          </cell>
          <cell r="H345">
            <v>65</v>
          </cell>
          <cell r="I345">
            <v>99</v>
          </cell>
          <cell r="J345">
            <v>90</v>
          </cell>
          <cell r="K345">
            <v>42</v>
          </cell>
        </row>
        <row r="346">
          <cell r="D346">
            <v>93</v>
          </cell>
          <cell r="E346">
            <v>22</v>
          </cell>
          <cell r="F346">
            <v>8</v>
          </cell>
          <cell r="G346">
            <v>1</v>
          </cell>
          <cell r="H346">
            <v>11</v>
          </cell>
          <cell r="I346">
            <v>34</v>
          </cell>
          <cell r="J346">
            <v>15</v>
          </cell>
          <cell r="K346">
            <v>2</v>
          </cell>
        </row>
        <row r="347">
          <cell r="D347">
            <v>5966</v>
          </cell>
          <cell r="E347">
            <v>737</v>
          </cell>
          <cell r="F347">
            <v>714</v>
          </cell>
          <cell r="G347">
            <v>800</v>
          </cell>
          <cell r="H347">
            <v>545</v>
          </cell>
          <cell r="I347">
            <v>1270</v>
          </cell>
          <cell r="J347">
            <v>1553</v>
          </cell>
          <cell r="K347">
            <v>347</v>
          </cell>
        </row>
        <row r="348">
          <cell r="D348">
            <v>257</v>
          </cell>
          <cell r="E348">
            <v>4</v>
          </cell>
          <cell r="F348">
            <v>18</v>
          </cell>
          <cell r="G348">
            <v>21</v>
          </cell>
          <cell r="H348">
            <v>63</v>
          </cell>
          <cell r="I348">
            <v>63</v>
          </cell>
          <cell r="J348">
            <v>44</v>
          </cell>
          <cell r="K348">
            <v>44</v>
          </cell>
        </row>
        <row r="349">
          <cell r="D349">
            <v>101161</v>
          </cell>
          <cell r="E349">
            <v>14261</v>
          </cell>
          <cell r="F349">
            <v>16324</v>
          </cell>
          <cell r="G349">
            <v>17841</v>
          </cell>
          <cell r="H349">
            <v>9216</v>
          </cell>
          <cell r="I349">
            <v>26444</v>
          </cell>
          <cell r="J349">
            <v>8331</v>
          </cell>
          <cell r="K349">
            <v>8744</v>
          </cell>
        </row>
        <row r="350">
          <cell r="D350">
            <v>357</v>
          </cell>
          <cell r="E350">
            <v>71</v>
          </cell>
          <cell r="F350">
            <v>60</v>
          </cell>
          <cell r="G350">
            <v>19</v>
          </cell>
          <cell r="H350">
            <v>8</v>
          </cell>
          <cell r="I350">
            <v>130</v>
          </cell>
          <cell r="J350">
            <v>58</v>
          </cell>
          <cell r="K350">
            <v>11</v>
          </cell>
        </row>
        <row r="351">
          <cell r="D351">
            <v>22492</v>
          </cell>
          <cell r="E351">
            <v>3840</v>
          </cell>
          <cell r="F351">
            <v>4621</v>
          </cell>
          <cell r="G351">
            <v>5472</v>
          </cell>
          <cell r="H351">
            <v>2995</v>
          </cell>
          <cell r="I351">
            <v>2898</v>
          </cell>
          <cell r="J351">
            <v>2184</v>
          </cell>
          <cell r="K351">
            <v>482</v>
          </cell>
        </row>
        <row r="352">
          <cell r="D352">
            <v>90539</v>
          </cell>
          <cell r="E352">
            <v>12719</v>
          </cell>
          <cell r="F352">
            <v>15216</v>
          </cell>
          <cell r="G352">
            <v>16326</v>
          </cell>
          <cell r="H352">
            <v>8543</v>
          </cell>
          <cell r="I352">
            <v>22810</v>
          </cell>
          <cell r="J352">
            <v>6847</v>
          </cell>
          <cell r="K352">
            <v>8078</v>
          </cell>
        </row>
        <row r="353">
          <cell r="D353">
            <v>356</v>
          </cell>
          <cell r="E353">
            <v>71</v>
          </cell>
          <cell r="F353">
            <v>59</v>
          </cell>
          <cell r="G353">
            <v>19</v>
          </cell>
          <cell r="H353">
            <v>8</v>
          </cell>
          <cell r="I353">
            <v>130</v>
          </cell>
          <cell r="J353">
            <v>58</v>
          </cell>
          <cell r="K353">
            <v>11</v>
          </cell>
        </row>
        <row r="354">
          <cell r="D354">
            <v>21083</v>
          </cell>
          <cell r="E354">
            <v>3702</v>
          </cell>
          <cell r="F354">
            <v>4350</v>
          </cell>
          <cell r="G354">
            <v>5363</v>
          </cell>
          <cell r="H354">
            <v>2766</v>
          </cell>
          <cell r="I354">
            <v>2806</v>
          </cell>
          <cell r="J354">
            <v>1618</v>
          </cell>
          <cell r="K354">
            <v>478</v>
          </cell>
        </row>
        <row r="355">
          <cell r="A355" t="str">
            <v>១៤. ទូក កាណូត</v>
          </cell>
        </row>
        <row r="356">
          <cell r="D356">
            <v>4166</v>
          </cell>
          <cell r="E356">
            <v>487</v>
          </cell>
          <cell r="F356">
            <v>1208</v>
          </cell>
          <cell r="G356">
            <v>1740</v>
          </cell>
          <cell r="H356">
            <v>110</v>
          </cell>
          <cell r="I356">
            <v>55</v>
          </cell>
          <cell r="J356">
            <v>191</v>
          </cell>
          <cell r="K356">
            <v>375</v>
          </cell>
        </row>
        <row r="357">
          <cell r="D357">
            <v>27</v>
          </cell>
          <cell r="E357">
            <v>0</v>
          </cell>
          <cell r="F357">
            <v>20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7</v>
          </cell>
        </row>
        <row r="358">
          <cell r="D358">
            <v>2386</v>
          </cell>
          <cell r="E358">
            <v>211</v>
          </cell>
          <cell r="F358">
            <v>247</v>
          </cell>
          <cell r="G358">
            <v>225</v>
          </cell>
          <cell r="H358">
            <v>1224</v>
          </cell>
          <cell r="I358">
            <v>1</v>
          </cell>
          <cell r="J358">
            <v>70</v>
          </cell>
          <cell r="K358">
            <v>408</v>
          </cell>
        </row>
        <row r="359">
          <cell r="D359">
            <v>325</v>
          </cell>
          <cell r="E359">
            <v>0</v>
          </cell>
          <cell r="F359">
            <v>28</v>
          </cell>
          <cell r="G359">
            <v>5</v>
          </cell>
          <cell r="H359">
            <v>283</v>
          </cell>
          <cell r="I359">
            <v>0</v>
          </cell>
          <cell r="J359">
            <v>1</v>
          </cell>
          <cell r="K359">
            <v>8</v>
          </cell>
        </row>
        <row r="360">
          <cell r="D360">
            <v>58</v>
          </cell>
          <cell r="E360">
            <v>7</v>
          </cell>
          <cell r="F360">
            <v>20</v>
          </cell>
          <cell r="G360">
            <v>7</v>
          </cell>
          <cell r="H360">
            <v>11</v>
          </cell>
          <cell r="I360">
            <v>0</v>
          </cell>
          <cell r="J360">
            <v>13</v>
          </cell>
          <cell r="K360">
            <v>0</v>
          </cell>
        </row>
        <row r="361">
          <cell r="D361">
            <v>31</v>
          </cell>
          <cell r="E361">
            <v>3</v>
          </cell>
          <cell r="F361">
            <v>11</v>
          </cell>
          <cell r="G361">
            <v>4</v>
          </cell>
          <cell r="H361">
            <v>12</v>
          </cell>
          <cell r="I361">
            <v>0</v>
          </cell>
          <cell r="J361">
            <v>1</v>
          </cell>
          <cell r="K361">
            <v>0</v>
          </cell>
        </row>
        <row r="362">
          <cell r="D362">
            <v>3932</v>
          </cell>
          <cell r="E362">
            <v>478</v>
          </cell>
          <cell r="F362">
            <v>1192</v>
          </cell>
          <cell r="G362">
            <v>1724</v>
          </cell>
          <cell r="H362">
            <v>110</v>
          </cell>
          <cell r="I362">
            <v>55</v>
          </cell>
          <cell r="J362">
            <v>171</v>
          </cell>
          <cell r="K362">
            <v>202</v>
          </cell>
        </row>
        <row r="363">
          <cell r="D363">
            <v>27</v>
          </cell>
          <cell r="E363">
            <v>0</v>
          </cell>
          <cell r="F363">
            <v>20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7</v>
          </cell>
        </row>
        <row r="364">
          <cell r="D364">
            <v>2379</v>
          </cell>
          <cell r="E364">
            <v>210</v>
          </cell>
          <cell r="F364">
            <v>247</v>
          </cell>
          <cell r="G364">
            <v>225</v>
          </cell>
          <cell r="H364">
            <v>1218</v>
          </cell>
          <cell r="I364">
            <v>1</v>
          </cell>
          <cell r="J364">
            <v>70</v>
          </cell>
          <cell r="K364">
            <v>408</v>
          </cell>
        </row>
        <row r="365">
          <cell r="D365">
            <v>70</v>
          </cell>
          <cell r="E365">
            <v>0</v>
          </cell>
          <cell r="F365">
            <v>28</v>
          </cell>
          <cell r="G365">
            <v>5</v>
          </cell>
          <cell r="H365">
            <v>28</v>
          </cell>
          <cell r="I365">
            <v>0</v>
          </cell>
          <cell r="J365">
            <v>1</v>
          </cell>
          <cell r="K365">
            <v>8</v>
          </cell>
        </row>
        <row r="366">
          <cell r="D366">
            <v>57</v>
          </cell>
          <cell r="E366">
            <v>6</v>
          </cell>
          <cell r="F366">
            <v>20</v>
          </cell>
          <cell r="G366">
            <v>7</v>
          </cell>
          <cell r="H366">
            <v>11</v>
          </cell>
          <cell r="I366">
            <v>0</v>
          </cell>
          <cell r="J366">
            <v>13</v>
          </cell>
          <cell r="K366">
            <v>0</v>
          </cell>
        </row>
        <row r="367">
          <cell r="D367">
            <v>31</v>
          </cell>
          <cell r="E367">
            <v>3</v>
          </cell>
          <cell r="F367">
            <v>11</v>
          </cell>
          <cell r="G367">
            <v>4</v>
          </cell>
          <cell r="H367">
            <v>12</v>
          </cell>
          <cell r="I367">
            <v>0</v>
          </cell>
          <cell r="J367">
            <v>1</v>
          </cell>
          <cell r="K367">
            <v>0</v>
          </cell>
        </row>
        <row r="368">
          <cell r="D368">
            <v>9.35</v>
          </cell>
          <cell r="E368">
            <v>6.97</v>
          </cell>
          <cell r="F368">
            <v>5.82</v>
          </cell>
          <cell r="G368">
            <v>8.5</v>
          </cell>
          <cell r="H368">
            <v>7.82</v>
          </cell>
          <cell r="I368">
            <v>9.86</v>
          </cell>
          <cell r="J368">
            <v>1.63</v>
          </cell>
          <cell r="K368">
            <v>24.84</v>
          </cell>
        </row>
        <row r="369">
          <cell r="D369">
            <v>22.66</v>
          </cell>
          <cell r="E369">
            <v>17.91</v>
          </cell>
          <cell r="F369">
            <v>21.25</v>
          </cell>
          <cell r="G369">
            <v>24.24</v>
          </cell>
          <cell r="H369">
            <v>14.24</v>
          </cell>
          <cell r="I369">
            <v>24.87</v>
          </cell>
          <cell r="J369">
            <v>2.5</v>
          </cell>
          <cell r="K369">
            <v>53.6</v>
          </cell>
        </row>
        <row r="370">
          <cell r="D370">
            <v>47.69</v>
          </cell>
          <cell r="E370">
            <v>44.94</v>
          </cell>
          <cell r="F370">
            <v>22.38</v>
          </cell>
          <cell r="G370">
            <v>33.92</v>
          </cell>
          <cell r="H370">
            <v>42.15</v>
          </cell>
          <cell r="I370">
            <v>89.33</v>
          </cell>
          <cell r="J370">
            <v>3.35</v>
          </cell>
          <cell r="K370">
            <v>97.76</v>
          </cell>
        </row>
        <row r="371">
          <cell r="A371" t="str">
            <v>១៥. ការចិញ្ចឹមសត្វនិងវារីវប្បកម្ម</v>
          </cell>
        </row>
        <row r="372">
          <cell r="D372">
            <v>113279</v>
          </cell>
          <cell r="E372">
            <v>6199</v>
          </cell>
          <cell r="F372">
            <v>40837</v>
          </cell>
          <cell r="G372">
            <v>11972</v>
          </cell>
          <cell r="H372">
            <v>16334</v>
          </cell>
          <cell r="I372">
            <v>12297</v>
          </cell>
          <cell r="J372">
            <v>3555</v>
          </cell>
          <cell r="K372">
            <v>22085</v>
          </cell>
        </row>
        <row r="373">
          <cell r="D373">
            <v>17849</v>
          </cell>
          <cell r="E373">
            <v>15</v>
          </cell>
          <cell r="F373">
            <v>4177</v>
          </cell>
          <cell r="G373">
            <v>1565</v>
          </cell>
          <cell r="H373">
            <v>6459</v>
          </cell>
          <cell r="I373">
            <v>1097</v>
          </cell>
          <cell r="J373">
            <v>55</v>
          </cell>
          <cell r="K373">
            <v>4481</v>
          </cell>
        </row>
        <row r="374">
          <cell r="D374">
            <v>26487</v>
          </cell>
          <cell r="E374">
            <v>1144</v>
          </cell>
          <cell r="F374">
            <v>4085</v>
          </cell>
          <cell r="G374">
            <v>3528</v>
          </cell>
          <cell r="H374">
            <v>3086</v>
          </cell>
          <cell r="I374">
            <v>3275</v>
          </cell>
          <cell r="J374">
            <v>222</v>
          </cell>
          <cell r="K374">
            <v>11147</v>
          </cell>
        </row>
        <row r="375">
          <cell r="D375">
            <v>606988</v>
          </cell>
          <cell r="E375">
            <v>49335</v>
          </cell>
          <cell r="F375">
            <v>117533</v>
          </cell>
          <cell r="G375">
            <v>118565</v>
          </cell>
          <cell r="H375">
            <v>67458</v>
          </cell>
          <cell r="I375">
            <v>150851</v>
          </cell>
          <cell r="J375">
            <v>23829</v>
          </cell>
          <cell r="K375">
            <v>79417</v>
          </cell>
        </row>
        <row r="376">
          <cell r="D376">
            <v>42353</v>
          </cell>
          <cell r="E376">
            <v>5331</v>
          </cell>
          <cell r="F376">
            <v>9170</v>
          </cell>
          <cell r="G376">
            <v>5357</v>
          </cell>
          <cell r="H376">
            <v>4152</v>
          </cell>
          <cell r="I376">
            <v>11556</v>
          </cell>
          <cell r="J376">
            <v>1437</v>
          </cell>
          <cell r="K376">
            <v>5350</v>
          </cell>
        </row>
        <row r="377">
          <cell r="D377">
            <v>782</v>
          </cell>
          <cell r="E377">
            <v>271</v>
          </cell>
          <cell r="F377">
            <v>44</v>
          </cell>
          <cell r="G377">
            <v>27</v>
          </cell>
          <cell r="H377">
            <v>4</v>
          </cell>
          <cell r="I377">
            <v>271</v>
          </cell>
          <cell r="J377">
            <v>0</v>
          </cell>
          <cell r="K377">
            <v>165</v>
          </cell>
        </row>
        <row r="379">
          <cell r="D379">
            <v>24268</v>
          </cell>
          <cell r="E379">
            <v>1492</v>
          </cell>
          <cell r="F379">
            <v>9655</v>
          </cell>
          <cell r="G379">
            <v>3478</v>
          </cell>
          <cell r="H379">
            <v>3450</v>
          </cell>
          <cell r="I379">
            <v>2140</v>
          </cell>
          <cell r="J379">
            <v>772</v>
          </cell>
          <cell r="K379">
            <v>3281</v>
          </cell>
        </row>
        <row r="380">
          <cell r="D380">
            <v>3732</v>
          </cell>
          <cell r="E380">
            <v>4</v>
          </cell>
          <cell r="F380">
            <v>706</v>
          </cell>
          <cell r="G380">
            <v>388</v>
          </cell>
          <cell r="H380">
            <v>1882</v>
          </cell>
          <cell r="I380">
            <v>157</v>
          </cell>
          <cell r="J380">
            <v>6</v>
          </cell>
          <cell r="K380">
            <v>589</v>
          </cell>
        </row>
        <row r="381">
          <cell r="D381">
            <v>3967</v>
          </cell>
          <cell r="E381">
            <v>150</v>
          </cell>
          <cell r="F381">
            <v>1224</v>
          </cell>
          <cell r="G381">
            <v>482</v>
          </cell>
          <cell r="H381">
            <v>425</v>
          </cell>
          <cell r="I381">
            <v>423</v>
          </cell>
          <cell r="J381">
            <v>25</v>
          </cell>
          <cell r="K381">
            <v>1238</v>
          </cell>
        </row>
        <row r="382">
          <cell r="D382">
            <v>68531</v>
          </cell>
          <cell r="E382">
            <v>7818</v>
          </cell>
          <cell r="F382">
            <v>13968</v>
          </cell>
          <cell r="G382">
            <v>11927</v>
          </cell>
          <cell r="H382">
            <v>6763</v>
          </cell>
          <cell r="I382">
            <v>17367</v>
          </cell>
          <cell r="J382">
            <v>2954</v>
          </cell>
          <cell r="K382">
            <v>7734</v>
          </cell>
        </row>
        <row r="383">
          <cell r="D383">
            <v>5380</v>
          </cell>
          <cell r="E383">
            <v>700</v>
          </cell>
          <cell r="F383">
            <v>1083</v>
          </cell>
          <cell r="G383">
            <v>277</v>
          </cell>
          <cell r="H383">
            <v>723</v>
          </cell>
          <cell r="I383">
            <v>1569</v>
          </cell>
          <cell r="J383">
            <v>134</v>
          </cell>
          <cell r="K383">
            <v>894</v>
          </cell>
        </row>
        <row r="384">
          <cell r="D384">
            <v>61</v>
          </cell>
          <cell r="E384">
            <v>9</v>
          </cell>
          <cell r="F384">
            <v>5</v>
          </cell>
          <cell r="G384">
            <v>5</v>
          </cell>
          <cell r="H384">
            <v>1</v>
          </cell>
          <cell r="I384">
            <v>27</v>
          </cell>
          <cell r="J384">
            <v>0</v>
          </cell>
          <cell r="K384">
            <v>14</v>
          </cell>
        </row>
        <row r="385"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</row>
        <row r="386">
          <cell r="D386">
            <v>355</v>
          </cell>
          <cell r="E386">
            <v>76</v>
          </cell>
          <cell r="F386">
            <v>3</v>
          </cell>
          <cell r="G386">
            <v>150</v>
          </cell>
          <cell r="H386">
            <v>10</v>
          </cell>
          <cell r="I386">
            <v>44</v>
          </cell>
          <cell r="J386">
            <v>34</v>
          </cell>
          <cell r="K386">
            <v>38</v>
          </cell>
        </row>
        <row r="387">
          <cell r="D387">
            <v>354972</v>
          </cell>
          <cell r="E387">
            <v>42390</v>
          </cell>
          <cell r="F387">
            <v>1085</v>
          </cell>
          <cell r="G387">
            <v>241700</v>
          </cell>
          <cell r="H387">
            <v>3620</v>
          </cell>
          <cell r="I387">
            <v>1610</v>
          </cell>
          <cell r="J387">
            <v>6970</v>
          </cell>
          <cell r="K387">
            <v>57597</v>
          </cell>
        </row>
        <row r="388">
          <cell r="D388">
            <v>7</v>
          </cell>
          <cell r="E388">
            <v>4</v>
          </cell>
          <cell r="F388">
            <v>0</v>
          </cell>
          <cell r="G388">
            <v>1</v>
          </cell>
          <cell r="H388">
            <v>2</v>
          </cell>
          <cell r="I388">
            <v>0</v>
          </cell>
          <cell r="J388">
            <v>0</v>
          </cell>
          <cell r="K388">
            <v>0</v>
          </cell>
        </row>
        <row r="389">
          <cell r="D389">
            <v>1180</v>
          </cell>
          <cell r="E389">
            <v>80</v>
          </cell>
          <cell r="F389">
            <v>0</v>
          </cell>
          <cell r="G389">
            <v>100</v>
          </cell>
          <cell r="H389">
            <v>1000</v>
          </cell>
          <cell r="I389">
            <v>0</v>
          </cell>
          <cell r="J389">
            <v>0</v>
          </cell>
          <cell r="K389">
            <v>0</v>
          </cell>
        </row>
        <row r="390"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</row>
        <row r="391"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</row>
        <row r="392">
          <cell r="A392" t="str">
            <v>១៦. គ្រួសារនិងលំនៅស្ថាន</v>
          </cell>
        </row>
        <row r="393">
          <cell r="D393">
            <v>1178</v>
          </cell>
          <cell r="E393">
            <v>51</v>
          </cell>
          <cell r="F393">
            <v>303</v>
          </cell>
          <cell r="G393">
            <v>51</v>
          </cell>
          <cell r="H393">
            <v>225</v>
          </cell>
          <cell r="I393">
            <v>165</v>
          </cell>
          <cell r="J393">
            <v>2</v>
          </cell>
          <cell r="K393">
            <v>381</v>
          </cell>
        </row>
        <row r="394">
          <cell r="D394">
            <v>52498</v>
          </cell>
          <cell r="E394">
            <v>5872</v>
          </cell>
          <cell r="F394">
            <v>8444</v>
          </cell>
          <cell r="G394">
            <v>6907</v>
          </cell>
          <cell r="H394">
            <v>6384</v>
          </cell>
          <cell r="I394">
            <v>15651</v>
          </cell>
          <cell r="J394">
            <v>1998</v>
          </cell>
          <cell r="K394">
            <v>7242</v>
          </cell>
        </row>
        <row r="395">
          <cell r="D395">
            <v>3911</v>
          </cell>
          <cell r="E395">
            <v>469</v>
          </cell>
          <cell r="F395">
            <v>679</v>
          </cell>
          <cell r="G395">
            <v>507</v>
          </cell>
          <cell r="H395">
            <v>546</v>
          </cell>
          <cell r="I395">
            <v>830</v>
          </cell>
          <cell r="J395">
            <v>216</v>
          </cell>
          <cell r="K395">
            <v>664</v>
          </cell>
        </row>
        <row r="396">
          <cell r="D396">
            <v>42448</v>
          </cell>
          <cell r="E396">
            <v>7727</v>
          </cell>
          <cell r="F396">
            <v>8615</v>
          </cell>
          <cell r="G396">
            <v>9859</v>
          </cell>
          <cell r="H396">
            <v>3155</v>
          </cell>
          <cell r="I396">
            <v>6687</v>
          </cell>
          <cell r="J396">
            <v>3880</v>
          </cell>
          <cell r="K396">
            <v>2525</v>
          </cell>
        </row>
        <row r="397">
          <cell r="D397">
            <v>3236</v>
          </cell>
          <cell r="E397">
            <v>397</v>
          </cell>
          <cell r="F397">
            <v>359</v>
          </cell>
          <cell r="G397">
            <v>451</v>
          </cell>
          <cell r="H397">
            <v>136</v>
          </cell>
          <cell r="I397">
            <v>1085</v>
          </cell>
          <cell r="J397">
            <v>757</v>
          </cell>
          <cell r="K397">
            <v>51</v>
          </cell>
        </row>
        <row r="398">
          <cell r="D398">
            <v>2164</v>
          </cell>
          <cell r="E398">
            <v>234</v>
          </cell>
          <cell r="F398">
            <v>113</v>
          </cell>
          <cell r="G398">
            <v>142</v>
          </cell>
          <cell r="H398">
            <v>29</v>
          </cell>
          <cell r="I398">
            <v>360</v>
          </cell>
          <cell r="J398">
            <v>1275</v>
          </cell>
          <cell r="K398">
            <v>11</v>
          </cell>
        </row>
        <row r="399">
          <cell r="D399">
            <v>28</v>
          </cell>
          <cell r="E399">
            <v>5</v>
          </cell>
          <cell r="F399">
            <v>3</v>
          </cell>
          <cell r="G399">
            <v>6</v>
          </cell>
          <cell r="H399">
            <v>2</v>
          </cell>
          <cell r="I399">
            <v>1</v>
          </cell>
          <cell r="J399">
            <v>11</v>
          </cell>
          <cell r="K399">
            <v>0</v>
          </cell>
        </row>
        <row r="400">
          <cell r="D400">
            <v>1278</v>
          </cell>
          <cell r="E400">
            <v>51</v>
          </cell>
          <cell r="F400">
            <v>321</v>
          </cell>
          <cell r="G400">
            <v>53</v>
          </cell>
          <cell r="H400">
            <v>261</v>
          </cell>
          <cell r="I400">
            <v>173</v>
          </cell>
          <cell r="J400">
            <v>2</v>
          </cell>
          <cell r="K400">
            <v>417</v>
          </cell>
        </row>
        <row r="401">
          <cell r="D401">
            <v>56672</v>
          </cell>
          <cell r="E401">
            <v>6237</v>
          </cell>
          <cell r="F401">
            <v>9148</v>
          </cell>
          <cell r="G401">
            <v>7315</v>
          </cell>
          <cell r="H401">
            <v>6965</v>
          </cell>
          <cell r="I401">
            <v>16822</v>
          </cell>
          <cell r="J401">
            <v>2371</v>
          </cell>
          <cell r="K401">
            <v>7814</v>
          </cell>
        </row>
        <row r="402">
          <cell r="D402">
            <v>4203</v>
          </cell>
          <cell r="E402">
            <v>480</v>
          </cell>
          <cell r="F402">
            <v>788</v>
          </cell>
          <cell r="G402">
            <v>518</v>
          </cell>
          <cell r="H402">
            <v>600</v>
          </cell>
          <cell r="I402">
            <v>881</v>
          </cell>
          <cell r="J402">
            <v>227</v>
          </cell>
          <cell r="K402">
            <v>709</v>
          </cell>
        </row>
        <row r="403">
          <cell r="D403">
            <v>46777</v>
          </cell>
          <cell r="E403">
            <v>8335</v>
          </cell>
          <cell r="F403">
            <v>9563</v>
          </cell>
          <cell r="G403">
            <v>10587</v>
          </cell>
          <cell r="H403">
            <v>3778</v>
          </cell>
          <cell r="I403">
            <v>7238</v>
          </cell>
          <cell r="J403">
            <v>4292</v>
          </cell>
          <cell r="K403">
            <v>2984</v>
          </cell>
        </row>
        <row r="404">
          <cell r="D404">
            <v>3498</v>
          </cell>
          <cell r="E404">
            <v>417</v>
          </cell>
          <cell r="F404">
            <v>388</v>
          </cell>
          <cell r="G404">
            <v>479</v>
          </cell>
          <cell r="H404">
            <v>169</v>
          </cell>
          <cell r="I404">
            <v>1116</v>
          </cell>
          <cell r="J404">
            <v>875</v>
          </cell>
          <cell r="K404">
            <v>54</v>
          </cell>
        </row>
        <row r="405">
          <cell r="D405">
            <v>2241</v>
          </cell>
          <cell r="E405">
            <v>234</v>
          </cell>
          <cell r="F405">
            <v>120</v>
          </cell>
          <cell r="G405">
            <v>146</v>
          </cell>
          <cell r="H405">
            <v>31</v>
          </cell>
          <cell r="I405">
            <v>361</v>
          </cell>
          <cell r="J405">
            <v>1338</v>
          </cell>
          <cell r="K405">
            <v>11</v>
          </cell>
        </row>
        <row r="406">
          <cell r="D406">
            <v>29</v>
          </cell>
          <cell r="E406">
            <v>5</v>
          </cell>
          <cell r="F406">
            <v>3</v>
          </cell>
          <cell r="G406">
            <v>6</v>
          </cell>
          <cell r="H406">
            <v>2</v>
          </cell>
          <cell r="I406">
            <v>2</v>
          </cell>
          <cell r="J406">
            <v>11</v>
          </cell>
          <cell r="K406">
            <v>0</v>
          </cell>
        </row>
        <row r="407">
          <cell r="A407" t="str">
            <v>១៧. ការប្រើប្រាស់អគិ្គសនីតាមលំនៅស្ថាន</v>
          </cell>
        </row>
        <row r="408">
          <cell r="D408">
            <v>150</v>
          </cell>
          <cell r="E408">
            <v>3</v>
          </cell>
          <cell r="F408">
            <v>32</v>
          </cell>
          <cell r="G408">
            <v>12</v>
          </cell>
          <cell r="H408">
            <v>7</v>
          </cell>
          <cell r="I408">
            <v>38</v>
          </cell>
          <cell r="J408">
            <v>1</v>
          </cell>
          <cell r="K408">
            <v>57</v>
          </cell>
        </row>
        <row r="409">
          <cell r="D409">
            <v>33834</v>
          </cell>
          <cell r="E409">
            <v>4535</v>
          </cell>
          <cell r="F409">
            <v>5483</v>
          </cell>
          <cell r="G409">
            <v>5312</v>
          </cell>
          <cell r="H409">
            <v>2611</v>
          </cell>
          <cell r="I409">
            <v>11336</v>
          </cell>
          <cell r="J409">
            <v>1901</v>
          </cell>
          <cell r="K409">
            <v>2656</v>
          </cell>
        </row>
        <row r="410">
          <cell r="D410">
            <v>1752</v>
          </cell>
          <cell r="E410">
            <v>223</v>
          </cell>
          <cell r="F410">
            <v>308</v>
          </cell>
          <cell r="G410">
            <v>369</v>
          </cell>
          <cell r="H410">
            <v>93</v>
          </cell>
          <cell r="I410">
            <v>394</v>
          </cell>
          <cell r="J410">
            <v>208</v>
          </cell>
          <cell r="K410">
            <v>157</v>
          </cell>
        </row>
        <row r="411">
          <cell r="D411">
            <v>37628</v>
          </cell>
          <cell r="E411">
            <v>7285</v>
          </cell>
          <cell r="F411">
            <v>7133</v>
          </cell>
          <cell r="G411">
            <v>9201</v>
          </cell>
          <cell r="H411">
            <v>2442</v>
          </cell>
          <cell r="I411">
            <v>6185</v>
          </cell>
          <cell r="J411">
            <v>3759</v>
          </cell>
          <cell r="K411">
            <v>1623</v>
          </cell>
        </row>
        <row r="412">
          <cell r="D412">
            <v>3113</v>
          </cell>
          <cell r="E412">
            <v>366</v>
          </cell>
          <cell r="F412">
            <v>337</v>
          </cell>
          <cell r="G412">
            <v>443</v>
          </cell>
          <cell r="H412">
            <v>126</v>
          </cell>
          <cell r="I412">
            <v>1043</v>
          </cell>
          <cell r="J412">
            <v>754</v>
          </cell>
          <cell r="K412">
            <v>44</v>
          </cell>
        </row>
        <row r="413">
          <cell r="D413">
            <v>2151</v>
          </cell>
          <cell r="E413">
            <v>229</v>
          </cell>
          <cell r="F413">
            <v>112</v>
          </cell>
          <cell r="G413">
            <v>138</v>
          </cell>
          <cell r="H413">
            <v>29</v>
          </cell>
          <cell r="I413">
            <v>360</v>
          </cell>
          <cell r="J413">
            <v>1275</v>
          </cell>
          <cell r="K413">
            <v>8</v>
          </cell>
        </row>
        <row r="414">
          <cell r="D414">
            <v>28</v>
          </cell>
          <cell r="E414">
            <v>5</v>
          </cell>
          <cell r="F414">
            <v>3</v>
          </cell>
          <cell r="G414">
            <v>6</v>
          </cell>
          <cell r="H414">
            <v>2</v>
          </cell>
          <cell r="I414">
            <v>1</v>
          </cell>
          <cell r="J414">
            <v>11</v>
          </cell>
          <cell r="K414">
            <v>0</v>
          </cell>
        </row>
        <row r="415">
          <cell r="A415" t="str">
            <v>១៨. ការប្រើប្រាស់ថាមពលពីអាគុយតាមលំនៅស្ថាន</v>
          </cell>
        </row>
        <row r="416">
          <cell r="D416">
            <v>655</v>
          </cell>
          <cell r="E416">
            <v>44</v>
          </cell>
          <cell r="F416">
            <v>228</v>
          </cell>
          <cell r="G416">
            <v>11</v>
          </cell>
          <cell r="H416">
            <v>108</v>
          </cell>
          <cell r="I416">
            <v>93</v>
          </cell>
          <cell r="J416">
            <v>0</v>
          </cell>
          <cell r="K416">
            <v>171</v>
          </cell>
        </row>
        <row r="417">
          <cell r="D417">
            <v>9575</v>
          </cell>
          <cell r="E417">
            <v>620</v>
          </cell>
          <cell r="F417">
            <v>2276</v>
          </cell>
          <cell r="G417">
            <v>506</v>
          </cell>
          <cell r="H417">
            <v>855</v>
          </cell>
          <cell r="I417">
            <v>3221</v>
          </cell>
          <cell r="J417">
            <v>31</v>
          </cell>
          <cell r="K417">
            <v>2066</v>
          </cell>
        </row>
        <row r="418">
          <cell r="D418">
            <v>1221</v>
          </cell>
          <cell r="E418">
            <v>120</v>
          </cell>
          <cell r="F418">
            <v>265</v>
          </cell>
          <cell r="G418">
            <v>25</v>
          </cell>
          <cell r="H418">
            <v>151</v>
          </cell>
          <cell r="I418">
            <v>359</v>
          </cell>
          <cell r="J418">
            <v>8</v>
          </cell>
          <cell r="K418">
            <v>293</v>
          </cell>
        </row>
        <row r="419">
          <cell r="D419">
            <v>2449</v>
          </cell>
          <cell r="E419">
            <v>137</v>
          </cell>
          <cell r="F419">
            <v>1172</v>
          </cell>
          <cell r="G419">
            <v>124</v>
          </cell>
          <cell r="H419">
            <v>231</v>
          </cell>
          <cell r="I419">
            <v>344</v>
          </cell>
          <cell r="J419">
            <v>0</v>
          </cell>
          <cell r="K419">
            <v>441</v>
          </cell>
        </row>
        <row r="420">
          <cell r="D420">
            <v>20</v>
          </cell>
          <cell r="E420">
            <v>3</v>
          </cell>
          <cell r="F420">
            <v>1</v>
          </cell>
          <cell r="G420">
            <v>0</v>
          </cell>
          <cell r="H420">
            <v>3</v>
          </cell>
          <cell r="I420">
            <v>7</v>
          </cell>
          <cell r="J420">
            <v>0</v>
          </cell>
          <cell r="K420">
            <v>6</v>
          </cell>
        </row>
        <row r="421"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</row>
        <row r="422"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</row>
        <row r="423">
          <cell r="A423" t="str">
            <v>១៩. ការប្រើប្រាស់ថាមពលពីព្រះអាទិត្យតាមលំនៅស្ថាន</v>
          </cell>
        </row>
        <row r="424">
          <cell r="D424">
            <v>346</v>
          </cell>
          <cell r="E424">
            <v>3</v>
          </cell>
          <cell r="F424">
            <v>40</v>
          </cell>
          <cell r="G424">
            <v>28</v>
          </cell>
          <cell r="H424">
            <v>104</v>
          </cell>
          <cell r="I424">
            <v>34</v>
          </cell>
          <cell r="J424">
            <v>1</v>
          </cell>
          <cell r="K424">
            <v>136</v>
          </cell>
        </row>
        <row r="425">
          <cell r="D425">
            <v>7424</v>
          </cell>
          <cell r="E425">
            <v>684</v>
          </cell>
          <cell r="F425">
            <v>531</v>
          </cell>
          <cell r="G425">
            <v>1037</v>
          </cell>
          <cell r="H425">
            <v>2392</v>
          </cell>
          <cell r="I425">
            <v>718</v>
          </cell>
          <cell r="J425">
            <v>24</v>
          </cell>
          <cell r="K425">
            <v>2038</v>
          </cell>
        </row>
        <row r="426">
          <cell r="D426">
            <v>762</v>
          </cell>
          <cell r="E426">
            <v>104</v>
          </cell>
          <cell r="F426">
            <v>96</v>
          </cell>
          <cell r="G426">
            <v>105</v>
          </cell>
          <cell r="H426">
            <v>205</v>
          </cell>
          <cell r="I426">
            <v>69</v>
          </cell>
          <cell r="J426">
            <v>0</v>
          </cell>
          <cell r="K426">
            <v>183</v>
          </cell>
        </row>
        <row r="427">
          <cell r="D427">
            <v>1677</v>
          </cell>
          <cell r="E427">
            <v>218</v>
          </cell>
          <cell r="F427">
            <v>191</v>
          </cell>
          <cell r="G427">
            <v>247</v>
          </cell>
          <cell r="H427">
            <v>466</v>
          </cell>
          <cell r="I427">
            <v>148</v>
          </cell>
          <cell r="J427">
            <v>21</v>
          </cell>
          <cell r="K427">
            <v>386</v>
          </cell>
        </row>
        <row r="428">
          <cell r="D428">
            <v>81</v>
          </cell>
          <cell r="E428">
            <v>28</v>
          </cell>
          <cell r="F428">
            <v>2</v>
          </cell>
          <cell r="G428">
            <v>8</v>
          </cell>
          <cell r="H428">
            <v>7</v>
          </cell>
          <cell r="I428">
            <v>35</v>
          </cell>
          <cell r="J428">
            <v>0</v>
          </cell>
          <cell r="K428">
            <v>1</v>
          </cell>
        </row>
        <row r="429">
          <cell r="D429">
            <v>11</v>
          </cell>
          <cell r="E429">
            <v>5</v>
          </cell>
          <cell r="F429">
            <v>0</v>
          </cell>
          <cell r="G429">
            <v>3</v>
          </cell>
          <cell r="H429">
            <v>0</v>
          </cell>
          <cell r="I429">
            <v>0</v>
          </cell>
          <cell r="J429">
            <v>0</v>
          </cell>
          <cell r="K429">
            <v>3</v>
          </cell>
        </row>
        <row r="430"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</row>
        <row r="431">
          <cell r="A431" t="str">
            <v>២០. ការប្រើប្រាស់ថាមពលពីឡជីវឧស្ម័នតាមលំនៅស្ថាន</v>
          </cell>
        </row>
        <row r="432"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</row>
        <row r="433"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</row>
        <row r="434">
          <cell r="D434">
            <v>4</v>
          </cell>
          <cell r="E434">
            <v>0</v>
          </cell>
          <cell r="F434">
            <v>0</v>
          </cell>
          <cell r="G434">
            <v>0</v>
          </cell>
          <cell r="H434">
            <v>4</v>
          </cell>
          <cell r="I434">
            <v>0</v>
          </cell>
          <cell r="J434">
            <v>0</v>
          </cell>
          <cell r="K434">
            <v>0</v>
          </cell>
        </row>
        <row r="435"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</row>
        <row r="436"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</row>
        <row r="437"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</row>
        <row r="438"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</row>
        <row r="439">
          <cell r="A439" t="str">
            <v>២១. ការប្រើប្រាស់ទូរទស្សន៏តាមលំនៅស្ថាន</v>
          </cell>
        </row>
        <row r="440">
          <cell r="D440">
            <v>14</v>
          </cell>
          <cell r="E440">
            <v>4</v>
          </cell>
          <cell r="F440">
            <v>10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</row>
        <row r="441">
          <cell r="D441">
            <v>5710</v>
          </cell>
          <cell r="E441">
            <v>735</v>
          </cell>
          <cell r="F441">
            <v>822</v>
          </cell>
          <cell r="G441">
            <v>1206</v>
          </cell>
          <cell r="H441">
            <v>776</v>
          </cell>
          <cell r="I441">
            <v>1477</v>
          </cell>
          <cell r="J441">
            <v>641</v>
          </cell>
          <cell r="K441">
            <v>53</v>
          </cell>
        </row>
        <row r="442">
          <cell r="D442">
            <v>150</v>
          </cell>
          <cell r="E442">
            <v>20</v>
          </cell>
          <cell r="F442">
            <v>25</v>
          </cell>
          <cell r="G442">
            <v>26</v>
          </cell>
          <cell r="H442">
            <v>9</v>
          </cell>
          <cell r="I442">
            <v>19</v>
          </cell>
          <cell r="J442">
            <v>49</v>
          </cell>
          <cell r="K442">
            <v>2</v>
          </cell>
        </row>
        <row r="443">
          <cell r="D443">
            <v>8580</v>
          </cell>
          <cell r="E443">
            <v>2083</v>
          </cell>
          <cell r="F443">
            <v>1663</v>
          </cell>
          <cell r="G443">
            <v>2524</v>
          </cell>
          <cell r="H443">
            <v>592</v>
          </cell>
          <cell r="I443">
            <v>773</v>
          </cell>
          <cell r="J443">
            <v>924</v>
          </cell>
          <cell r="K443">
            <v>21</v>
          </cell>
        </row>
        <row r="444">
          <cell r="D444">
            <v>866</v>
          </cell>
          <cell r="E444">
            <v>152</v>
          </cell>
          <cell r="F444">
            <v>93</v>
          </cell>
          <cell r="G444">
            <v>105</v>
          </cell>
          <cell r="H444">
            <v>37</v>
          </cell>
          <cell r="I444">
            <v>195</v>
          </cell>
          <cell r="J444">
            <v>283</v>
          </cell>
          <cell r="K444">
            <v>1</v>
          </cell>
        </row>
        <row r="445">
          <cell r="D445">
            <v>985</v>
          </cell>
          <cell r="E445">
            <v>123</v>
          </cell>
          <cell r="F445">
            <v>46</v>
          </cell>
          <cell r="G445">
            <v>47</v>
          </cell>
          <cell r="H445">
            <v>27</v>
          </cell>
          <cell r="I445">
            <v>231</v>
          </cell>
          <cell r="J445">
            <v>509</v>
          </cell>
          <cell r="K445">
            <v>2</v>
          </cell>
        </row>
        <row r="446">
          <cell r="D446">
            <v>12</v>
          </cell>
          <cell r="E446">
            <v>3</v>
          </cell>
          <cell r="F446">
            <v>3</v>
          </cell>
          <cell r="G446">
            <v>3</v>
          </cell>
          <cell r="H446">
            <v>0</v>
          </cell>
          <cell r="I446">
            <v>1</v>
          </cell>
          <cell r="J446">
            <v>2</v>
          </cell>
          <cell r="K446">
            <v>0</v>
          </cell>
        </row>
        <row r="447">
          <cell r="A447" t="str">
            <v>២២. លំនៅស្ថានមិនមានគ្រួសារស្នាក់នៅជាប្រចាំ</v>
          </cell>
        </row>
        <row r="448">
          <cell r="D448">
            <v>1278</v>
          </cell>
          <cell r="E448">
            <v>83</v>
          </cell>
          <cell r="F448">
            <v>84</v>
          </cell>
          <cell r="G448">
            <v>19</v>
          </cell>
          <cell r="H448">
            <v>644</v>
          </cell>
          <cell r="I448">
            <v>274</v>
          </cell>
          <cell r="J448">
            <v>9</v>
          </cell>
          <cell r="K448">
            <v>165</v>
          </cell>
        </row>
        <row r="449">
          <cell r="D449">
            <v>461</v>
          </cell>
          <cell r="E449">
            <v>2</v>
          </cell>
          <cell r="F449">
            <v>1</v>
          </cell>
          <cell r="G449">
            <v>2</v>
          </cell>
          <cell r="H449">
            <v>22</v>
          </cell>
          <cell r="I449">
            <v>30</v>
          </cell>
          <cell r="J449">
            <v>3</v>
          </cell>
          <cell r="K449">
            <v>401</v>
          </cell>
        </row>
        <row r="450">
          <cell r="D450">
            <v>578</v>
          </cell>
          <cell r="E450">
            <v>102</v>
          </cell>
          <cell r="F450">
            <v>44</v>
          </cell>
          <cell r="G450">
            <v>18</v>
          </cell>
          <cell r="H450">
            <v>392</v>
          </cell>
          <cell r="I450">
            <v>6</v>
          </cell>
          <cell r="J450">
            <v>5</v>
          </cell>
          <cell r="K450">
            <v>11</v>
          </cell>
        </row>
        <row r="451">
          <cell r="D451">
            <v>20</v>
          </cell>
          <cell r="E451">
            <v>6</v>
          </cell>
          <cell r="F451">
            <v>4</v>
          </cell>
          <cell r="G451">
            <v>0</v>
          </cell>
          <cell r="H451">
            <v>0</v>
          </cell>
          <cell r="I451">
            <v>0</v>
          </cell>
          <cell r="J451">
            <v>10</v>
          </cell>
          <cell r="K451">
            <v>0</v>
          </cell>
        </row>
        <row r="452"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</row>
        <row r="453">
          <cell r="A453" t="str">
            <v>២៣. សុខភាពមាតានិងទារក</v>
          </cell>
        </row>
        <row r="454">
          <cell r="D454">
            <v>8.1199999999999992</v>
          </cell>
          <cell r="E454">
            <v>5.34</v>
          </cell>
          <cell r="F454">
            <v>6.61</v>
          </cell>
          <cell r="G454">
            <v>9.09</v>
          </cell>
          <cell r="H454">
            <v>8.06</v>
          </cell>
          <cell r="I454">
            <v>10.6</v>
          </cell>
          <cell r="J454">
            <v>1.91</v>
          </cell>
          <cell r="K454">
            <v>15.24</v>
          </cell>
        </row>
        <row r="455">
          <cell r="D455">
            <v>183</v>
          </cell>
          <cell r="E455">
            <v>34</v>
          </cell>
          <cell r="F455">
            <v>37</v>
          </cell>
          <cell r="G455">
            <v>39</v>
          </cell>
          <cell r="H455">
            <v>16</v>
          </cell>
          <cell r="I455">
            <v>31</v>
          </cell>
          <cell r="J455">
            <v>24</v>
          </cell>
          <cell r="K455">
            <v>2</v>
          </cell>
        </row>
        <row r="456">
          <cell r="D456">
            <v>24</v>
          </cell>
          <cell r="E456">
            <v>0</v>
          </cell>
          <cell r="F456">
            <v>4</v>
          </cell>
          <cell r="G456">
            <v>1</v>
          </cell>
          <cell r="H456">
            <v>8</v>
          </cell>
          <cell r="I456">
            <v>2</v>
          </cell>
          <cell r="J456">
            <v>0</v>
          </cell>
          <cell r="K456">
            <v>9</v>
          </cell>
        </row>
        <row r="457">
          <cell r="D457">
            <v>5716</v>
          </cell>
          <cell r="E457">
            <v>936</v>
          </cell>
          <cell r="F457">
            <v>1136</v>
          </cell>
          <cell r="G457">
            <v>771</v>
          </cell>
          <cell r="H457">
            <v>724</v>
          </cell>
          <cell r="I457">
            <v>1168</v>
          </cell>
          <cell r="J457">
            <v>364</v>
          </cell>
          <cell r="K457">
            <v>617</v>
          </cell>
        </row>
        <row r="458">
          <cell r="D458">
            <v>24</v>
          </cell>
          <cell r="E458">
            <v>0</v>
          </cell>
          <cell r="F458">
            <v>4</v>
          </cell>
          <cell r="G458">
            <v>1</v>
          </cell>
          <cell r="H458">
            <v>8</v>
          </cell>
          <cell r="I458">
            <v>2</v>
          </cell>
          <cell r="J458">
            <v>0</v>
          </cell>
          <cell r="K458">
            <v>9</v>
          </cell>
        </row>
        <row r="459">
          <cell r="D459">
            <v>5725</v>
          </cell>
          <cell r="E459">
            <v>938</v>
          </cell>
          <cell r="F459">
            <v>1136</v>
          </cell>
          <cell r="G459">
            <v>772</v>
          </cell>
          <cell r="H459">
            <v>726</v>
          </cell>
          <cell r="I459">
            <v>1171</v>
          </cell>
          <cell r="J459">
            <v>364</v>
          </cell>
          <cell r="K459">
            <v>618</v>
          </cell>
        </row>
        <row r="460"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</row>
        <row r="461">
          <cell r="D461">
            <v>1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1</v>
          </cell>
          <cell r="J461">
            <v>0</v>
          </cell>
          <cell r="K461">
            <v>0</v>
          </cell>
        </row>
        <row r="462">
          <cell r="D462">
            <v>1</v>
          </cell>
          <cell r="E462">
            <v>0</v>
          </cell>
          <cell r="F462">
            <v>0</v>
          </cell>
          <cell r="G462">
            <v>1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</row>
        <row r="463">
          <cell r="D463">
            <v>14</v>
          </cell>
          <cell r="E463">
            <v>2</v>
          </cell>
          <cell r="F463">
            <v>3</v>
          </cell>
          <cell r="G463">
            <v>2</v>
          </cell>
          <cell r="H463">
            <v>2</v>
          </cell>
          <cell r="I463">
            <v>1</v>
          </cell>
          <cell r="J463">
            <v>0</v>
          </cell>
          <cell r="K463">
            <v>4</v>
          </cell>
        </row>
        <row r="464">
          <cell r="D464">
            <v>5254</v>
          </cell>
          <cell r="E464">
            <v>859</v>
          </cell>
          <cell r="F464">
            <v>1127</v>
          </cell>
          <cell r="G464">
            <v>768</v>
          </cell>
          <cell r="H464">
            <v>546</v>
          </cell>
          <cell r="I464">
            <v>1125</v>
          </cell>
          <cell r="J464">
            <v>355</v>
          </cell>
          <cell r="K464">
            <v>474</v>
          </cell>
        </row>
        <row r="465">
          <cell r="D465">
            <v>2544</v>
          </cell>
          <cell r="E465">
            <v>422</v>
          </cell>
          <cell r="F465">
            <v>407</v>
          </cell>
          <cell r="G465">
            <v>317</v>
          </cell>
          <cell r="H465">
            <v>367</v>
          </cell>
          <cell r="I465">
            <v>560</v>
          </cell>
          <cell r="J465">
            <v>174</v>
          </cell>
          <cell r="K465">
            <v>297</v>
          </cell>
        </row>
        <row r="466">
          <cell r="D466">
            <v>2499</v>
          </cell>
          <cell r="E466">
            <v>415</v>
          </cell>
          <cell r="F466">
            <v>403</v>
          </cell>
          <cell r="G466">
            <v>309</v>
          </cell>
          <cell r="H466">
            <v>348</v>
          </cell>
          <cell r="I466">
            <v>560</v>
          </cell>
          <cell r="J466">
            <v>174</v>
          </cell>
          <cell r="K466">
            <v>290</v>
          </cell>
        </row>
        <row r="467">
          <cell r="A467" t="str">
            <v>២៤. ការប្រើប្រាស់ទឹកនិងអនាម័យ</v>
          </cell>
        </row>
        <row r="468">
          <cell r="D468">
            <v>48406</v>
          </cell>
          <cell r="E468">
            <v>9680</v>
          </cell>
          <cell r="F468">
            <v>9353</v>
          </cell>
          <cell r="G468">
            <v>11899</v>
          </cell>
          <cell r="H468">
            <v>4495</v>
          </cell>
          <cell r="I468">
            <v>4556</v>
          </cell>
          <cell r="J468">
            <v>8318</v>
          </cell>
          <cell r="K468">
            <v>105</v>
          </cell>
        </row>
        <row r="469">
          <cell r="D469">
            <v>31262</v>
          </cell>
          <cell r="E469">
            <v>3119</v>
          </cell>
          <cell r="F469">
            <v>7181</v>
          </cell>
          <cell r="G469">
            <v>3207</v>
          </cell>
          <cell r="H469">
            <v>914</v>
          </cell>
          <cell r="I469">
            <v>10818</v>
          </cell>
          <cell r="J469">
            <v>429</v>
          </cell>
          <cell r="K469">
            <v>5594</v>
          </cell>
        </row>
        <row r="470">
          <cell r="D470">
            <v>8192</v>
          </cell>
          <cell r="E470">
            <v>1364</v>
          </cell>
          <cell r="F470">
            <v>595</v>
          </cell>
          <cell r="G470">
            <v>890</v>
          </cell>
          <cell r="H470">
            <v>16</v>
          </cell>
          <cell r="I470">
            <v>4635</v>
          </cell>
          <cell r="J470">
            <v>0</v>
          </cell>
          <cell r="K470">
            <v>692</v>
          </cell>
        </row>
        <row r="471">
          <cell r="D471">
            <v>3168</v>
          </cell>
          <cell r="E471">
            <v>363</v>
          </cell>
          <cell r="F471">
            <v>392</v>
          </cell>
          <cell r="G471">
            <v>263</v>
          </cell>
          <cell r="H471">
            <v>133</v>
          </cell>
          <cell r="I471">
            <v>1515</v>
          </cell>
          <cell r="J471">
            <v>0</v>
          </cell>
          <cell r="K471">
            <v>502</v>
          </cell>
        </row>
        <row r="472">
          <cell r="D472">
            <v>2316</v>
          </cell>
          <cell r="E472">
            <v>74</v>
          </cell>
          <cell r="F472">
            <v>232</v>
          </cell>
          <cell r="G472">
            <v>498</v>
          </cell>
          <cell r="H472">
            <v>246</v>
          </cell>
          <cell r="I472">
            <v>858</v>
          </cell>
          <cell r="J472">
            <v>28</v>
          </cell>
          <cell r="K472">
            <v>380</v>
          </cell>
        </row>
        <row r="473">
          <cell r="D473">
            <v>2670</v>
          </cell>
          <cell r="E473">
            <v>194</v>
          </cell>
          <cell r="F473">
            <v>396</v>
          </cell>
          <cell r="G473">
            <v>416</v>
          </cell>
          <cell r="H473">
            <v>712</v>
          </cell>
          <cell r="I473">
            <v>183</v>
          </cell>
          <cell r="J473">
            <v>10</v>
          </cell>
          <cell r="K473">
            <v>759</v>
          </cell>
        </row>
        <row r="474">
          <cell r="D474">
            <v>14481</v>
          </cell>
          <cell r="E474">
            <v>485</v>
          </cell>
          <cell r="F474">
            <v>1394</v>
          </cell>
          <cell r="G474">
            <v>1413</v>
          </cell>
          <cell r="H474">
            <v>4690</v>
          </cell>
          <cell r="I474">
            <v>3147</v>
          </cell>
          <cell r="J474">
            <v>104</v>
          </cell>
          <cell r="K474">
            <v>3248</v>
          </cell>
        </row>
        <row r="475">
          <cell r="D475">
            <v>13733</v>
          </cell>
          <cell r="E475">
            <v>1427</v>
          </cell>
          <cell r="F475">
            <v>2207</v>
          </cell>
          <cell r="G475">
            <v>2063</v>
          </cell>
          <cell r="H475">
            <v>157</v>
          </cell>
          <cell r="I475">
            <v>6241</v>
          </cell>
          <cell r="J475">
            <v>345</v>
          </cell>
          <cell r="K475">
            <v>1293</v>
          </cell>
        </row>
        <row r="476">
          <cell r="D476">
            <v>4567</v>
          </cell>
          <cell r="E476">
            <v>650</v>
          </cell>
          <cell r="F476">
            <v>189</v>
          </cell>
          <cell r="G476">
            <v>664</v>
          </cell>
          <cell r="H476">
            <v>14</v>
          </cell>
          <cell r="I476">
            <v>2597</v>
          </cell>
          <cell r="J476">
            <v>0</v>
          </cell>
          <cell r="K476">
            <v>453</v>
          </cell>
        </row>
        <row r="477">
          <cell r="D477">
            <v>1649</v>
          </cell>
          <cell r="E477">
            <v>157</v>
          </cell>
          <cell r="F477">
            <v>74</v>
          </cell>
          <cell r="G477">
            <v>242</v>
          </cell>
          <cell r="H477">
            <v>62</v>
          </cell>
          <cell r="I477">
            <v>949</v>
          </cell>
          <cell r="J477">
            <v>0</v>
          </cell>
          <cell r="K477">
            <v>165</v>
          </cell>
        </row>
        <row r="478">
          <cell r="D478">
            <v>1203</v>
          </cell>
          <cell r="E478">
            <v>39</v>
          </cell>
          <cell r="F478">
            <v>50</v>
          </cell>
          <cell r="G478">
            <v>343</v>
          </cell>
          <cell r="H478">
            <v>95</v>
          </cell>
          <cell r="I478">
            <v>590</v>
          </cell>
          <cell r="J478">
            <v>3</v>
          </cell>
          <cell r="K478">
            <v>83</v>
          </cell>
        </row>
        <row r="479">
          <cell r="D479">
            <v>19839</v>
          </cell>
          <cell r="E479">
            <v>5023</v>
          </cell>
          <cell r="F479">
            <v>3449</v>
          </cell>
          <cell r="G479">
            <v>4687</v>
          </cell>
          <cell r="H479">
            <v>1335</v>
          </cell>
          <cell r="I479">
            <v>1296</v>
          </cell>
          <cell r="J479">
            <v>3813</v>
          </cell>
          <cell r="K479">
            <v>236</v>
          </cell>
        </row>
        <row r="480">
          <cell r="D480">
            <v>60200</v>
          </cell>
          <cell r="E480">
            <v>7050</v>
          </cell>
          <cell r="F480">
            <v>12796</v>
          </cell>
          <cell r="G480">
            <v>10714</v>
          </cell>
          <cell r="H480">
            <v>5321</v>
          </cell>
          <cell r="I480">
            <v>18017</v>
          </cell>
          <cell r="J480">
            <v>2510</v>
          </cell>
          <cell r="K480">
            <v>3792</v>
          </cell>
        </row>
        <row r="481">
          <cell r="D481">
            <v>15262</v>
          </cell>
          <cell r="E481">
            <v>1970</v>
          </cell>
          <cell r="F481">
            <v>2475</v>
          </cell>
          <cell r="G481">
            <v>2157</v>
          </cell>
          <cell r="H481">
            <v>1983</v>
          </cell>
          <cell r="I481">
            <v>2106</v>
          </cell>
          <cell r="J481">
            <v>2494</v>
          </cell>
          <cell r="K481">
            <v>2077</v>
          </cell>
        </row>
        <row r="482">
          <cell r="D482">
            <v>37086</v>
          </cell>
          <cell r="E482">
            <v>7386</v>
          </cell>
          <cell r="F482">
            <v>5616</v>
          </cell>
          <cell r="G482">
            <v>9471</v>
          </cell>
          <cell r="H482">
            <v>1692</v>
          </cell>
          <cell r="I482">
            <v>9174</v>
          </cell>
          <cell r="J482">
            <v>1612</v>
          </cell>
          <cell r="K482">
            <v>2135</v>
          </cell>
        </row>
        <row r="483">
          <cell r="D483">
            <v>7095</v>
          </cell>
          <cell r="E483">
            <v>1444</v>
          </cell>
          <cell r="F483">
            <v>1436</v>
          </cell>
          <cell r="G483">
            <v>928</v>
          </cell>
          <cell r="H483">
            <v>377</v>
          </cell>
          <cell r="I483">
            <v>1509</v>
          </cell>
          <cell r="J483">
            <v>39</v>
          </cell>
          <cell r="K483">
            <v>1362</v>
          </cell>
        </row>
        <row r="484">
          <cell r="D484">
            <v>86014</v>
          </cell>
          <cell r="E484">
            <v>13470</v>
          </cell>
          <cell r="F484">
            <v>14271</v>
          </cell>
          <cell r="G484">
            <v>16998</v>
          </cell>
          <cell r="H484">
            <v>8026</v>
          </cell>
          <cell r="I484">
            <v>19371</v>
          </cell>
          <cell r="J484">
            <v>8703</v>
          </cell>
          <cell r="K484">
            <v>5175</v>
          </cell>
        </row>
        <row r="485">
          <cell r="D485">
            <v>83100</v>
          </cell>
          <cell r="E485">
            <v>13073</v>
          </cell>
          <cell r="F485">
            <v>13791</v>
          </cell>
          <cell r="G485">
            <v>16674</v>
          </cell>
          <cell r="H485">
            <v>7195</v>
          </cell>
          <cell r="I485">
            <v>18955</v>
          </cell>
          <cell r="J485">
            <v>8641</v>
          </cell>
          <cell r="K485">
            <v>4771</v>
          </cell>
        </row>
        <row r="486">
          <cell r="D486">
            <v>2914</v>
          </cell>
          <cell r="E486">
            <v>397</v>
          </cell>
          <cell r="F486">
            <v>480</v>
          </cell>
          <cell r="G486">
            <v>324</v>
          </cell>
          <cell r="H486">
            <v>831</v>
          </cell>
          <cell r="I486">
            <v>416</v>
          </cell>
          <cell r="J486">
            <v>62</v>
          </cell>
          <cell r="K486">
            <v>404</v>
          </cell>
        </row>
        <row r="487">
          <cell r="A487" t="str">
            <v>២៥. ជនងាយរងគ្រោះឬជួបការលំបាក</v>
          </cell>
        </row>
        <row r="488">
          <cell r="D488">
            <v>537</v>
          </cell>
          <cell r="E488">
            <v>19</v>
          </cell>
          <cell r="F488">
            <v>239</v>
          </cell>
          <cell r="G488">
            <v>15</v>
          </cell>
          <cell r="H488">
            <v>46</v>
          </cell>
          <cell r="I488">
            <v>35</v>
          </cell>
          <cell r="J488">
            <v>5</v>
          </cell>
          <cell r="K488">
            <v>178</v>
          </cell>
        </row>
        <row r="489">
          <cell r="D489">
            <v>709</v>
          </cell>
          <cell r="E489">
            <v>30</v>
          </cell>
          <cell r="F489">
            <v>200</v>
          </cell>
          <cell r="G489">
            <v>44</v>
          </cell>
          <cell r="H489">
            <v>113</v>
          </cell>
          <cell r="I489">
            <v>97</v>
          </cell>
          <cell r="J489">
            <v>19</v>
          </cell>
          <cell r="K489">
            <v>206</v>
          </cell>
        </row>
        <row r="490">
          <cell r="D490">
            <v>341</v>
          </cell>
          <cell r="E490">
            <v>15</v>
          </cell>
          <cell r="F490">
            <v>96</v>
          </cell>
          <cell r="G490">
            <v>25</v>
          </cell>
          <cell r="H490">
            <v>58</v>
          </cell>
          <cell r="I490">
            <v>59</v>
          </cell>
          <cell r="J490">
            <v>10</v>
          </cell>
          <cell r="K490">
            <v>78</v>
          </cell>
        </row>
        <row r="491">
          <cell r="D491">
            <v>267</v>
          </cell>
          <cell r="E491">
            <v>39</v>
          </cell>
          <cell r="F491">
            <v>32</v>
          </cell>
          <cell r="G491">
            <v>30</v>
          </cell>
          <cell r="H491">
            <v>32</v>
          </cell>
          <cell r="I491">
            <v>65</v>
          </cell>
          <cell r="J491">
            <v>10</v>
          </cell>
          <cell r="K491">
            <v>59</v>
          </cell>
        </row>
        <row r="492">
          <cell r="D492">
            <v>496</v>
          </cell>
          <cell r="E492">
            <v>77</v>
          </cell>
          <cell r="F492">
            <v>56</v>
          </cell>
          <cell r="G492">
            <v>57</v>
          </cell>
          <cell r="H492">
            <v>59</v>
          </cell>
          <cell r="I492">
            <v>123</v>
          </cell>
          <cell r="J492">
            <v>22</v>
          </cell>
          <cell r="K492">
            <v>102</v>
          </cell>
        </row>
        <row r="493">
          <cell r="D493">
            <v>263</v>
          </cell>
          <cell r="E493">
            <v>32</v>
          </cell>
          <cell r="F493">
            <v>32</v>
          </cell>
          <cell r="G493">
            <v>36</v>
          </cell>
          <cell r="H493">
            <v>32</v>
          </cell>
          <cell r="I493">
            <v>61</v>
          </cell>
          <cell r="J493">
            <v>12</v>
          </cell>
          <cell r="K493">
            <v>58</v>
          </cell>
        </row>
        <row r="494">
          <cell r="D494">
            <v>50</v>
          </cell>
          <cell r="E494">
            <v>6</v>
          </cell>
          <cell r="F494">
            <v>1</v>
          </cell>
          <cell r="G494">
            <v>2</v>
          </cell>
          <cell r="H494">
            <v>20</v>
          </cell>
          <cell r="I494">
            <v>10</v>
          </cell>
          <cell r="J494">
            <v>7</v>
          </cell>
          <cell r="K494">
            <v>4</v>
          </cell>
        </row>
        <row r="495">
          <cell r="D495">
            <v>84</v>
          </cell>
          <cell r="E495">
            <v>20</v>
          </cell>
          <cell r="F495">
            <v>1</v>
          </cell>
          <cell r="G495">
            <v>3</v>
          </cell>
          <cell r="H495">
            <v>37</v>
          </cell>
          <cell r="I495">
            <v>14</v>
          </cell>
          <cell r="J495">
            <v>5</v>
          </cell>
          <cell r="K495">
            <v>4</v>
          </cell>
        </row>
        <row r="496">
          <cell r="D496">
            <v>35</v>
          </cell>
          <cell r="E496">
            <v>7</v>
          </cell>
          <cell r="F496">
            <v>0</v>
          </cell>
          <cell r="G496">
            <v>1</v>
          </cell>
          <cell r="H496">
            <v>20</v>
          </cell>
          <cell r="I496">
            <v>4</v>
          </cell>
          <cell r="J496">
            <v>2</v>
          </cell>
          <cell r="K496">
            <v>1</v>
          </cell>
        </row>
        <row r="497">
          <cell r="D497">
            <v>106</v>
          </cell>
          <cell r="E497">
            <v>36</v>
          </cell>
          <cell r="F497">
            <v>11</v>
          </cell>
          <cell r="G497">
            <v>4</v>
          </cell>
          <cell r="H497">
            <v>10</v>
          </cell>
          <cell r="I497">
            <v>23</v>
          </cell>
          <cell r="J497">
            <v>2</v>
          </cell>
          <cell r="K497">
            <v>20</v>
          </cell>
        </row>
        <row r="498">
          <cell r="D498">
            <v>4</v>
          </cell>
          <cell r="E498">
            <v>0</v>
          </cell>
          <cell r="F498">
            <v>1</v>
          </cell>
          <cell r="G498">
            <v>0</v>
          </cell>
          <cell r="H498">
            <v>0</v>
          </cell>
          <cell r="I498">
            <v>1</v>
          </cell>
          <cell r="J498">
            <v>0</v>
          </cell>
          <cell r="K498">
            <v>2</v>
          </cell>
        </row>
        <row r="499">
          <cell r="D499">
            <v>1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1</v>
          </cell>
        </row>
        <row r="500">
          <cell r="D500">
            <v>374</v>
          </cell>
          <cell r="E500">
            <v>56</v>
          </cell>
          <cell r="F500">
            <v>95</v>
          </cell>
          <cell r="G500">
            <v>60</v>
          </cell>
          <cell r="H500">
            <v>25</v>
          </cell>
          <cell r="I500">
            <v>98</v>
          </cell>
          <cell r="J500">
            <v>12</v>
          </cell>
          <cell r="K500">
            <v>28</v>
          </cell>
        </row>
        <row r="501">
          <cell r="D501">
            <v>1031</v>
          </cell>
          <cell r="E501">
            <v>82</v>
          </cell>
          <cell r="F501">
            <v>197</v>
          </cell>
          <cell r="G501">
            <v>29</v>
          </cell>
          <cell r="H501">
            <v>203</v>
          </cell>
          <cell r="I501">
            <v>157</v>
          </cell>
          <cell r="J501">
            <v>337</v>
          </cell>
          <cell r="K501">
            <v>26</v>
          </cell>
        </row>
        <row r="502">
          <cell r="D502">
            <v>116</v>
          </cell>
          <cell r="E502">
            <v>31</v>
          </cell>
          <cell r="F502">
            <v>18</v>
          </cell>
          <cell r="G502">
            <v>14</v>
          </cell>
          <cell r="H502">
            <v>10</v>
          </cell>
          <cell r="I502">
            <v>18</v>
          </cell>
          <cell r="J502">
            <v>21</v>
          </cell>
          <cell r="K502">
            <v>4</v>
          </cell>
        </row>
        <row r="503">
          <cell r="D503">
            <v>10</v>
          </cell>
          <cell r="E503">
            <v>4</v>
          </cell>
          <cell r="F503">
            <v>2</v>
          </cell>
          <cell r="G503">
            <v>0</v>
          </cell>
          <cell r="H503">
            <v>0</v>
          </cell>
          <cell r="I503">
            <v>3</v>
          </cell>
          <cell r="J503">
            <v>0</v>
          </cell>
          <cell r="K503">
            <v>1</v>
          </cell>
        </row>
        <row r="504">
          <cell r="D504">
            <v>899</v>
          </cell>
          <cell r="E504">
            <v>246</v>
          </cell>
          <cell r="F504">
            <v>141</v>
          </cell>
          <cell r="G504">
            <v>144</v>
          </cell>
          <cell r="H504">
            <v>102</v>
          </cell>
          <cell r="I504">
            <v>127</v>
          </cell>
          <cell r="J504">
            <v>27</v>
          </cell>
          <cell r="K504">
            <v>112</v>
          </cell>
        </row>
        <row r="505">
          <cell r="D505">
            <v>64</v>
          </cell>
          <cell r="E505">
            <v>14</v>
          </cell>
          <cell r="F505">
            <v>10</v>
          </cell>
          <cell r="G505">
            <v>13</v>
          </cell>
          <cell r="H505">
            <v>9</v>
          </cell>
          <cell r="I505">
            <v>11</v>
          </cell>
          <cell r="J505">
            <v>2</v>
          </cell>
          <cell r="K505">
            <v>5</v>
          </cell>
        </row>
        <row r="506">
          <cell r="D506">
            <v>25</v>
          </cell>
          <cell r="E506">
            <v>3</v>
          </cell>
          <cell r="F506">
            <v>1</v>
          </cell>
          <cell r="G506">
            <v>2</v>
          </cell>
          <cell r="H506">
            <v>4</v>
          </cell>
          <cell r="I506">
            <v>0</v>
          </cell>
          <cell r="J506">
            <v>6</v>
          </cell>
          <cell r="K506">
            <v>9</v>
          </cell>
        </row>
        <row r="507">
          <cell r="D507">
            <v>8</v>
          </cell>
          <cell r="E507">
            <v>1</v>
          </cell>
          <cell r="F507">
            <v>2</v>
          </cell>
          <cell r="G507">
            <v>1</v>
          </cell>
          <cell r="H507">
            <v>1</v>
          </cell>
          <cell r="I507">
            <v>1</v>
          </cell>
          <cell r="J507">
            <v>1</v>
          </cell>
          <cell r="K507">
            <v>1</v>
          </cell>
        </row>
        <row r="508">
          <cell r="D508">
            <v>1</v>
          </cell>
          <cell r="E508">
            <v>0</v>
          </cell>
          <cell r="F508">
            <v>1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</row>
        <row r="509"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</row>
        <row r="510">
          <cell r="D510">
            <v>1</v>
          </cell>
          <cell r="E510">
            <v>1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</row>
        <row r="511"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</row>
        <row r="512"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</row>
        <row r="513"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</row>
        <row r="514"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</row>
        <row r="515">
          <cell r="D515">
            <v>1658</v>
          </cell>
          <cell r="E515">
            <v>298</v>
          </cell>
          <cell r="F515">
            <v>318</v>
          </cell>
          <cell r="G515">
            <v>302</v>
          </cell>
          <cell r="H515">
            <v>199</v>
          </cell>
          <cell r="I515">
            <v>288</v>
          </cell>
          <cell r="J515">
            <v>136</v>
          </cell>
          <cell r="K515">
            <v>117</v>
          </cell>
        </row>
        <row r="516">
          <cell r="D516">
            <v>803</v>
          </cell>
          <cell r="E516">
            <v>156</v>
          </cell>
          <cell r="F516">
            <v>156</v>
          </cell>
          <cell r="G516">
            <v>147</v>
          </cell>
          <cell r="H516">
            <v>83</v>
          </cell>
          <cell r="I516">
            <v>142</v>
          </cell>
          <cell r="J516">
            <v>76</v>
          </cell>
          <cell r="K516">
            <v>43</v>
          </cell>
        </row>
        <row r="517">
          <cell r="D517">
            <v>1993</v>
          </cell>
          <cell r="E517">
            <v>455</v>
          </cell>
          <cell r="F517">
            <v>478</v>
          </cell>
          <cell r="G517">
            <v>317</v>
          </cell>
          <cell r="H517">
            <v>202</v>
          </cell>
          <cell r="I517">
            <v>293</v>
          </cell>
          <cell r="J517">
            <v>193</v>
          </cell>
          <cell r="K517">
            <v>55</v>
          </cell>
        </row>
        <row r="518">
          <cell r="D518">
            <v>807</v>
          </cell>
          <cell r="E518">
            <v>193</v>
          </cell>
          <cell r="F518">
            <v>194</v>
          </cell>
          <cell r="G518">
            <v>131</v>
          </cell>
          <cell r="H518">
            <v>72</v>
          </cell>
          <cell r="I518">
            <v>108</v>
          </cell>
          <cell r="J518">
            <v>89</v>
          </cell>
          <cell r="K518">
            <v>20</v>
          </cell>
        </row>
        <row r="519">
          <cell r="D519">
            <v>223</v>
          </cell>
          <cell r="E519">
            <v>29</v>
          </cell>
          <cell r="F519">
            <v>33</v>
          </cell>
          <cell r="G519">
            <v>53</v>
          </cell>
          <cell r="H519">
            <v>25</v>
          </cell>
          <cell r="I519">
            <v>41</v>
          </cell>
          <cell r="J519">
            <v>22</v>
          </cell>
          <cell r="K519">
            <v>20</v>
          </cell>
        </row>
        <row r="520">
          <cell r="D520">
            <v>16</v>
          </cell>
          <cell r="E520">
            <v>3</v>
          </cell>
          <cell r="F520">
            <v>3</v>
          </cell>
          <cell r="G520">
            <v>4</v>
          </cell>
          <cell r="H520">
            <v>1</v>
          </cell>
          <cell r="I520">
            <v>3</v>
          </cell>
          <cell r="J520">
            <v>1</v>
          </cell>
          <cell r="K520">
            <v>1</v>
          </cell>
        </row>
        <row r="521">
          <cell r="D521">
            <v>99</v>
          </cell>
          <cell r="E521">
            <v>16</v>
          </cell>
          <cell r="F521">
            <v>18</v>
          </cell>
          <cell r="G521">
            <v>26</v>
          </cell>
          <cell r="H521">
            <v>10</v>
          </cell>
          <cell r="I521">
            <v>17</v>
          </cell>
          <cell r="J521">
            <v>5</v>
          </cell>
          <cell r="K521">
            <v>7</v>
          </cell>
        </row>
        <row r="522">
          <cell r="D522">
            <v>16</v>
          </cell>
          <cell r="E522">
            <v>2</v>
          </cell>
          <cell r="F522">
            <v>4</v>
          </cell>
          <cell r="G522">
            <v>5</v>
          </cell>
          <cell r="H522">
            <v>2</v>
          </cell>
          <cell r="I522">
            <v>2</v>
          </cell>
          <cell r="J522">
            <v>0</v>
          </cell>
          <cell r="K522">
            <v>1</v>
          </cell>
        </row>
        <row r="523">
          <cell r="D523">
            <v>50</v>
          </cell>
          <cell r="E523">
            <v>7</v>
          </cell>
          <cell r="F523">
            <v>6</v>
          </cell>
          <cell r="G523">
            <v>22</v>
          </cell>
          <cell r="H523">
            <v>1</v>
          </cell>
          <cell r="I523">
            <v>7</v>
          </cell>
          <cell r="J523">
            <v>2</v>
          </cell>
          <cell r="K523">
            <v>5</v>
          </cell>
        </row>
        <row r="524">
          <cell r="D524">
            <v>8</v>
          </cell>
          <cell r="E524">
            <v>1</v>
          </cell>
          <cell r="F524">
            <v>3</v>
          </cell>
          <cell r="G524">
            <v>2</v>
          </cell>
          <cell r="H524">
            <v>0</v>
          </cell>
          <cell r="I524">
            <v>1</v>
          </cell>
          <cell r="J524">
            <v>0</v>
          </cell>
          <cell r="K524">
            <v>1</v>
          </cell>
        </row>
        <row r="525">
          <cell r="D525">
            <v>1743</v>
          </cell>
          <cell r="E525">
            <v>251</v>
          </cell>
          <cell r="F525">
            <v>440</v>
          </cell>
          <cell r="G525">
            <v>305</v>
          </cell>
          <cell r="H525">
            <v>226</v>
          </cell>
          <cell r="I525">
            <v>303</v>
          </cell>
          <cell r="J525">
            <v>128</v>
          </cell>
          <cell r="K525">
            <v>90</v>
          </cell>
        </row>
        <row r="526">
          <cell r="D526">
            <v>640</v>
          </cell>
          <cell r="E526">
            <v>106</v>
          </cell>
          <cell r="F526">
            <v>164</v>
          </cell>
          <cell r="G526">
            <v>99</v>
          </cell>
          <cell r="H526">
            <v>82</v>
          </cell>
          <cell r="I526">
            <v>111</v>
          </cell>
          <cell r="J526">
            <v>53</v>
          </cell>
          <cell r="K526">
            <v>25</v>
          </cell>
        </row>
        <row r="527">
          <cell r="D527">
            <v>1515</v>
          </cell>
          <cell r="E527">
            <v>427</v>
          </cell>
          <cell r="F527">
            <v>171</v>
          </cell>
          <cell r="G527">
            <v>262</v>
          </cell>
          <cell r="H527">
            <v>132</v>
          </cell>
          <cell r="I527">
            <v>269</v>
          </cell>
          <cell r="J527">
            <v>178</v>
          </cell>
          <cell r="K527">
            <v>76</v>
          </cell>
        </row>
        <row r="528">
          <cell r="D528">
            <v>661</v>
          </cell>
          <cell r="E528">
            <v>189</v>
          </cell>
          <cell r="F528">
            <v>80</v>
          </cell>
          <cell r="G528">
            <v>121</v>
          </cell>
          <cell r="H528">
            <v>52</v>
          </cell>
          <cell r="I528">
            <v>113</v>
          </cell>
          <cell r="J528">
            <v>84</v>
          </cell>
          <cell r="K528">
            <v>22</v>
          </cell>
        </row>
        <row r="529">
          <cell r="D529">
            <v>715</v>
          </cell>
          <cell r="E529">
            <v>120</v>
          </cell>
          <cell r="F529">
            <v>236</v>
          </cell>
          <cell r="G529">
            <v>131</v>
          </cell>
          <cell r="H529">
            <v>78</v>
          </cell>
          <cell r="I529">
            <v>67</v>
          </cell>
          <cell r="J529">
            <v>50</v>
          </cell>
          <cell r="K529">
            <v>33</v>
          </cell>
        </row>
        <row r="530">
          <cell r="D530">
            <v>341</v>
          </cell>
          <cell r="E530">
            <v>59</v>
          </cell>
          <cell r="F530">
            <v>113</v>
          </cell>
          <cell r="G530">
            <v>67</v>
          </cell>
          <cell r="H530">
            <v>24</v>
          </cell>
          <cell r="I530">
            <v>31</v>
          </cell>
          <cell r="J530">
            <v>29</v>
          </cell>
          <cell r="K530">
            <v>18</v>
          </cell>
        </row>
        <row r="531">
          <cell r="A531" t="str">
            <v>២៦. ធនធានធម្មជាតិនិងបរិស្ថាន</v>
          </cell>
        </row>
        <row r="532">
          <cell r="D532">
            <v>111</v>
          </cell>
          <cell r="E532">
            <v>5</v>
          </cell>
          <cell r="F532">
            <v>101</v>
          </cell>
          <cell r="G532">
            <v>5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</row>
        <row r="533">
          <cell r="D533">
            <v>499</v>
          </cell>
          <cell r="E533">
            <v>18</v>
          </cell>
          <cell r="F533">
            <v>459</v>
          </cell>
          <cell r="G533">
            <v>22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</row>
        <row r="534">
          <cell r="D534">
            <v>1465</v>
          </cell>
          <cell r="E534">
            <v>200</v>
          </cell>
          <cell r="F534">
            <v>686</v>
          </cell>
          <cell r="G534">
            <v>451</v>
          </cell>
          <cell r="H534">
            <v>24</v>
          </cell>
          <cell r="I534">
            <v>73</v>
          </cell>
          <cell r="J534">
            <v>0</v>
          </cell>
          <cell r="K534">
            <v>31</v>
          </cell>
        </row>
        <row r="535">
          <cell r="D535">
            <v>4992</v>
          </cell>
          <cell r="E535">
            <v>857</v>
          </cell>
          <cell r="F535">
            <v>2054</v>
          </cell>
          <cell r="G535">
            <v>1722</v>
          </cell>
          <cell r="H535">
            <v>59</v>
          </cell>
          <cell r="I535">
            <v>202</v>
          </cell>
          <cell r="J535">
            <v>0</v>
          </cell>
          <cell r="K535">
            <v>98</v>
          </cell>
        </row>
        <row r="536">
          <cell r="D536">
            <v>573</v>
          </cell>
          <cell r="E536">
            <v>372</v>
          </cell>
          <cell r="F536">
            <v>150</v>
          </cell>
          <cell r="G536">
            <v>50</v>
          </cell>
          <cell r="H536">
            <v>0</v>
          </cell>
          <cell r="I536">
            <v>0</v>
          </cell>
          <cell r="J536">
            <v>0</v>
          </cell>
          <cell r="K536">
            <v>1</v>
          </cell>
        </row>
        <row r="537">
          <cell r="D537">
            <v>2213</v>
          </cell>
          <cell r="E537">
            <v>1573</v>
          </cell>
          <cell r="F537">
            <v>450</v>
          </cell>
          <cell r="G537">
            <v>188</v>
          </cell>
          <cell r="H537">
            <v>0</v>
          </cell>
          <cell r="I537">
            <v>0</v>
          </cell>
          <cell r="J537">
            <v>0</v>
          </cell>
          <cell r="K537">
            <v>2</v>
          </cell>
        </row>
        <row r="538">
          <cell r="D538">
            <v>20</v>
          </cell>
          <cell r="E538">
            <v>2</v>
          </cell>
          <cell r="F538">
            <v>4</v>
          </cell>
          <cell r="G538">
            <v>0</v>
          </cell>
          <cell r="H538">
            <v>5</v>
          </cell>
          <cell r="I538">
            <v>7</v>
          </cell>
          <cell r="J538">
            <v>0</v>
          </cell>
          <cell r="K538">
            <v>2</v>
          </cell>
        </row>
        <row r="539">
          <cell r="D539">
            <v>75</v>
          </cell>
          <cell r="E539">
            <v>13</v>
          </cell>
          <cell r="F539">
            <v>13</v>
          </cell>
          <cell r="G539">
            <v>0</v>
          </cell>
          <cell r="H539">
            <v>18</v>
          </cell>
          <cell r="I539">
            <v>27</v>
          </cell>
          <cell r="J539">
            <v>0</v>
          </cell>
          <cell r="K539">
            <v>4</v>
          </cell>
        </row>
        <row r="540">
          <cell r="D540">
            <v>2096</v>
          </cell>
          <cell r="E540">
            <v>15</v>
          </cell>
          <cell r="F540">
            <v>74</v>
          </cell>
          <cell r="G540">
            <v>181</v>
          </cell>
          <cell r="H540">
            <v>1159</v>
          </cell>
          <cell r="I540">
            <v>198</v>
          </cell>
          <cell r="J540">
            <v>0</v>
          </cell>
          <cell r="K540">
            <v>469</v>
          </cell>
        </row>
        <row r="541">
          <cell r="D541">
            <v>7698</v>
          </cell>
          <cell r="E541">
            <v>60</v>
          </cell>
          <cell r="F541">
            <v>224</v>
          </cell>
          <cell r="G541">
            <v>782</v>
          </cell>
          <cell r="H541">
            <v>4221</v>
          </cell>
          <cell r="I541">
            <v>580</v>
          </cell>
          <cell r="J541">
            <v>0</v>
          </cell>
          <cell r="K541">
            <v>1831</v>
          </cell>
        </row>
        <row r="542">
          <cell r="D542">
            <v>6453</v>
          </cell>
          <cell r="E542">
            <v>110</v>
          </cell>
          <cell r="F542">
            <v>185</v>
          </cell>
          <cell r="G542">
            <v>0</v>
          </cell>
          <cell r="H542">
            <v>165</v>
          </cell>
          <cell r="I542">
            <v>1064</v>
          </cell>
          <cell r="J542">
            <v>4929</v>
          </cell>
          <cell r="K542">
            <v>0</v>
          </cell>
        </row>
        <row r="543">
          <cell r="D543">
            <v>557</v>
          </cell>
          <cell r="E543">
            <v>316</v>
          </cell>
          <cell r="F543">
            <v>52</v>
          </cell>
          <cell r="G543">
            <v>4</v>
          </cell>
          <cell r="H543">
            <v>8</v>
          </cell>
          <cell r="I543">
            <v>30</v>
          </cell>
          <cell r="J543">
            <v>76</v>
          </cell>
          <cell r="K543">
            <v>71</v>
          </cell>
        </row>
        <row r="544">
          <cell r="A544" t="str">
            <v>២៧. រដ្ឋបាលនិងសន្តិសុខ</v>
          </cell>
        </row>
        <row r="545">
          <cell r="D545">
            <v>3</v>
          </cell>
          <cell r="E545">
            <v>1</v>
          </cell>
          <cell r="F545">
            <v>2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</row>
        <row r="546">
          <cell r="D546">
            <v>364</v>
          </cell>
          <cell r="E546">
            <v>49</v>
          </cell>
          <cell r="F546">
            <v>23</v>
          </cell>
          <cell r="G546">
            <v>23</v>
          </cell>
          <cell r="H546">
            <v>16</v>
          </cell>
          <cell r="I546">
            <v>195</v>
          </cell>
          <cell r="J546">
            <v>11</v>
          </cell>
          <cell r="K546">
            <v>47</v>
          </cell>
        </row>
        <row r="547">
          <cell r="D547">
            <v>517</v>
          </cell>
          <cell r="E547">
            <v>27</v>
          </cell>
          <cell r="F547">
            <v>77</v>
          </cell>
          <cell r="G547">
            <v>48</v>
          </cell>
          <cell r="H547">
            <v>251</v>
          </cell>
          <cell r="I547">
            <v>72</v>
          </cell>
          <cell r="J547">
            <v>1</v>
          </cell>
          <cell r="K547">
            <v>41</v>
          </cell>
        </row>
        <row r="548">
          <cell r="D548">
            <v>160</v>
          </cell>
          <cell r="E548">
            <v>4</v>
          </cell>
          <cell r="F548">
            <v>54</v>
          </cell>
          <cell r="G548">
            <v>6</v>
          </cell>
          <cell r="H548">
            <v>61</v>
          </cell>
          <cell r="I548">
            <v>23</v>
          </cell>
          <cell r="J548">
            <v>4</v>
          </cell>
          <cell r="K548">
            <v>8</v>
          </cell>
        </row>
        <row r="549">
          <cell r="D549">
            <v>368</v>
          </cell>
          <cell r="E549">
            <v>47</v>
          </cell>
          <cell r="F549">
            <v>35</v>
          </cell>
          <cell r="G549">
            <v>63</v>
          </cell>
          <cell r="H549">
            <v>66</v>
          </cell>
          <cell r="I549">
            <v>92</v>
          </cell>
          <cell r="J549">
            <v>10</v>
          </cell>
          <cell r="K549">
            <v>55</v>
          </cell>
        </row>
        <row r="550">
          <cell r="D550">
            <v>413</v>
          </cell>
          <cell r="E550">
            <v>44</v>
          </cell>
          <cell r="F550">
            <v>81</v>
          </cell>
          <cell r="G550">
            <v>45</v>
          </cell>
          <cell r="H550">
            <v>103</v>
          </cell>
          <cell r="I550">
            <v>90</v>
          </cell>
          <cell r="J550">
            <v>11</v>
          </cell>
          <cell r="K550">
            <v>39</v>
          </cell>
        </row>
        <row r="551">
          <cell r="D551">
            <v>348</v>
          </cell>
          <cell r="E551">
            <v>34</v>
          </cell>
          <cell r="F551">
            <v>63</v>
          </cell>
          <cell r="G551">
            <v>38</v>
          </cell>
          <cell r="H551">
            <v>77</v>
          </cell>
          <cell r="I551">
            <v>73</v>
          </cell>
          <cell r="J551">
            <v>15</v>
          </cell>
          <cell r="K551">
            <v>48</v>
          </cell>
        </row>
        <row r="552">
          <cell r="D552">
            <v>112</v>
          </cell>
          <cell r="E552">
            <v>21</v>
          </cell>
          <cell r="F552">
            <v>16</v>
          </cell>
          <cell r="G552">
            <v>25</v>
          </cell>
          <cell r="H552">
            <v>27</v>
          </cell>
          <cell r="I552">
            <v>13</v>
          </cell>
          <cell r="J552">
            <v>2</v>
          </cell>
          <cell r="K552">
            <v>8</v>
          </cell>
        </row>
        <row r="553">
          <cell r="D553">
            <v>60</v>
          </cell>
          <cell r="E553">
            <v>10</v>
          </cell>
          <cell r="F553">
            <v>9</v>
          </cell>
          <cell r="G553">
            <v>13</v>
          </cell>
          <cell r="H553">
            <v>18</v>
          </cell>
          <cell r="I553">
            <v>4</v>
          </cell>
          <cell r="J553">
            <v>2</v>
          </cell>
          <cell r="K553">
            <v>4</v>
          </cell>
        </row>
        <row r="554">
          <cell r="D554">
            <v>201</v>
          </cell>
          <cell r="E554">
            <v>14</v>
          </cell>
          <cell r="F554">
            <v>51</v>
          </cell>
          <cell r="G554">
            <v>22</v>
          </cell>
          <cell r="H554">
            <v>43</v>
          </cell>
          <cell r="I554">
            <v>53</v>
          </cell>
          <cell r="J554">
            <v>2</v>
          </cell>
          <cell r="K554">
            <v>16</v>
          </cell>
        </row>
        <row r="555">
          <cell r="D555">
            <v>100</v>
          </cell>
          <cell r="E555">
            <v>10</v>
          </cell>
          <cell r="F555">
            <v>25</v>
          </cell>
          <cell r="G555">
            <v>12</v>
          </cell>
          <cell r="H555">
            <v>28</v>
          </cell>
          <cell r="I555">
            <v>20</v>
          </cell>
          <cell r="J555">
            <v>2</v>
          </cell>
          <cell r="K555">
            <v>3</v>
          </cell>
        </row>
        <row r="556">
          <cell r="D556">
            <v>893</v>
          </cell>
          <cell r="E556">
            <v>200</v>
          </cell>
          <cell r="F556">
            <v>113</v>
          </cell>
          <cell r="G556">
            <v>29</v>
          </cell>
          <cell r="H556">
            <v>112</v>
          </cell>
          <cell r="I556">
            <v>355</v>
          </cell>
          <cell r="J556">
            <v>8</v>
          </cell>
          <cell r="K556">
            <v>76</v>
          </cell>
        </row>
        <row r="557">
          <cell r="A557" t="str">
            <v>២៨. ចំនួនមរណភាពដែលកើតមានឡើងក្នុងឆ្នាំ</v>
          </cell>
        </row>
        <row r="558">
          <cell r="D558">
            <v>1</v>
          </cell>
          <cell r="E558">
            <v>0</v>
          </cell>
          <cell r="F558">
            <v>1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</row>
        <row r="559">
          <cell r="D559">
            <v>5</v>
          </cell>
          <cell r="E559">
            <v>0</v>
          </cell>
          <cell r="F559">
            <v>1</v>
          </cell>
          <cell r="G559">
            <v>0</v>
          </cell>
          <cell r="H559">
            <v>3</v>
          </cell>
          <cell r="I559">
            <v>0</v>
          </cell>
          <cell r="J559">
            <v>0</v>
          </cell>
          <cell r="K559">
            <v>1</v>
          </cell>
        </row>
        <row r="560">
          <cell r="D560">
            <v>1</v>
          </cell>
          <cell r="E560">
            <v>0</v>
          </cell>
          <cell r="F560">
            <v>1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</row>
        <row r="561">
          <cell r="D561">
            <v>2</v>
          </cell>
          <cell r="E561">
            <v>0</v>
          </cell>
          <cell r="F561">
            <v>1</v>
          </cell>
          <cell r="G561">
            <v>0</v>
          </cell>
          <cell r="H561">
            <v>1</v>
          </cell>
          <cell r="I561">
            <v>0</v>
          </cell>
          <cell r="J561">
            <v>0</v>
          </cell>
          <cell r="K561">
            <v>0</v>
          </cell>
        </row>
        <row r="562"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</row>
        <row r="563">
          <cell r="D563">
            <v>1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1</v>
          </cell>
        </row>
        <row r="564"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</row>
        <row r="565"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</row>
        <row r="566">
          <cell r="D566">
            <v>8</v>
          </cell>
          <cell r="E566">
            <v>1</v>
          </cell>
          <cell r="F566">
            <v>0</v>
          </cell>
          <cell r="G566">
            <v>0</v>
          </cell>
          <cell r="H566">
            <v>2</v>
          </cell>
          <cell r="I566">
            <v>4</v>
          </cell>
          <cell r="J566">
            <v>1</v>
          </cell>
          <cell r="K566">
            <v>0</v>
          </cell>
        </row>
        <row r="567">
          <cell r="D567">
            <v>51</v>
          </cell>
          <cell r="E567">
            <v>10</v>
          </cell>
          <cell r="F567">
            <v>7</v>
          </cell>
          <cell r="G567">
            <v>6</v>
          </cell>
          <cell r="H567">
            <v>3</v>
          </cell>
          <cell r="I567">
            <v>17</v>
          </cell>
          <cell r="J567">
            <v>2</v>
          </cell>
          <cell r="K567">
            <v>6</v>
          </cell>
        </row>
        <row r="568">
          <cell r="D568">
            <v>3</v>
          </cell>
          <cell r="E568">
            <v>0</v>
          </cell>
          <cell r="F568">
            <v>0</v>
          </cell>
          <cell r="G568">
            <v>0</v>
          </cell>
          <cell r="H568">
            <v>2</v>
          </cell>
          <cell r="I568">
            <v>1</v>
          </cell>
          <cell r="J568">
            <v>0</v>
          </cell>
          <cell r="K568">
            <v>0</v>
          </cell>
        </row>
        <row r="569">
          <cell r="D569">
            <v>10</v>
          </cell>
          <cell r="E569">
            <v>4</v>
          </cell>
          <cell r="F569">
            <v>0</v>
          </cell>
          <cell r="G569">
            <v>1</v>
          </cell>
          <cell r="H569">
            <v>1</v>
          </cell>
          <cell r="I569">
            <v>3</v>
          </cell>
          <cell r="J569">
            <v>1</v>
          </cell>
          <cell r="K569">
            <v>0</v>
          </cell>
        </row>
        <row r="570"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</row>
        <row r="571">
          <cell r="D571">
            <v>1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1</v>
          </cell>
          <cell r="J571">
            <v>0</v>
          </cell>
          <cell r="K571">
            <v>0</v>
          </cell>
        </row>
        <row r="572"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</row>
        <row r="573"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</row>
        <row r="574">
          <cell r="D574">
            <v>2</v>
          </cell>
          <cell r="E574">
            <v>0</v>
          </cell>
          <cell r="F574">
            <v>0</v>
          </cell>
          <cell r="G574">
            <v>2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</row>
        <row r="575"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</row>
        <row r="576"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</row>
        <row r="577"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</row>
        <row r="578">
          <cell r="D578">
            <v>2</v>
          </cell>
          <cell r="E578">
            <v>0</v>
          </cell>
          <cell r="F578">
            <v>0</v>
          </cell>
          <cell r="G578">
            <v>1</v>
          </cell>
          <cell r="H578">
            <v>0</v>
          </cell>
          <cell r="I578">
            <v>0</v>
          </cell>
          <cell r="J578">
            <v>0</v>
          </cell>
          <cell r="K578">
            <v>1</v>
          </cell>
        </row>
        <row r="579">
          <cell r="D579">
            <v>5</v>
          </cell>
          <cell r="E579">
            <v>0</v>
          </cell>
          <cell r="F579">
            <v>0</v>
          </cell>
          <cell r="G579">
            <v>2</v>
          </cell>
          <cell r="H579">
            <v>0</v>
          </cell>
          <cell r="I579">
            <v>2</v>
          </cell>
          <cell r="J579">
            <v>0</v>
          </cell>
          <cell r="K579">
            <v>1</v>
          </cell>
        </row>
        <row r="580">
          <cell r="D580">
            <v>2</v>
          </cell>
          <cell r="E580">
            <v>0</v>
          </cell>
          <cell r="F580">
            <v>0</v>
          </cell>
          <cell r="G580">
            <v>1</v>
          </cell>
          <cell r="H580">
            <v>0</v>
          </cell>
          <cell r="I580">
            <v>0</v>
          </cell>
          <cell r="J580">
            <v>0</v>
          </cell>
          <cell r="K580">
            <v>1</v>
          </cell>
        </row>
        <row r="581">
          <cell r="D581">
            <v>2</v>
          </cell>
          <cell r="E581">
            <v>0</v>
          </cell>
          <cell r="F581">
            <v>0</v>
          </cell>
          <cell r="G581">
            <v>1</v>
          </cell>
          <cell r="H581">
            <v>0</v>
          </cell>
          <cell r="I581">
            <v>1</v>
          </cell>
          <cell r="J581">
            <v>0</v>
          </cell>
          <cell r="K581">
            <v>0</v>
          </cell>
        </row>
        <row r="582"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</row>
        <row r="583"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</row>
        <row r="584"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</row>
        <row r="585"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</row>
        <row r="586">
          <cell r="D586">
            <v>6</v>
          </cell>
          <cell r="E586">
            <v>1</v>
          </cell>
          <cell r="F586">
            <v>0</v>
          </cell>
          <cell r="G586">
            <v>0</v>
          </cell>
          <cell r="H586">
            <v>1</v>
          </cell>
          <cell r="I586">
            <v>3</v>
          </cell>
          <cell r="J586">
            <v>0</v>
          </cell>
          <cell r="K586">
            <v>1</v>
          </cell>
        </row>
        <row r="587">
          <cell r="D587">
            <v>5</v>
          </cell>
          <cell r="E587">
            <v>2</v>
          </cell>
          <cell r="F587">
            <v>1</v>
          </cell>
          <cell r="G587">
            <v>0</v>
          </cell>
          <cell r="H587">
            <v>0</v>
          </cell>
          <cell r="I587">
            <v>1</v>
          </cell>
          <cell r="J587">
            <v>0</v>
          </cell>
          <cell r="K587">
            <v>1</v>
          </cell>
        </row>
        <row r="588">
          <cell r="D588">
            <v>4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3</v>
          </cell>
          <cell r="J588">
            <v>0</v>
          </cell>
          <cell r="K588">
            <v>1</v>
          </cell>
        </row>
        <row r="589">
          <cell r="D589">
            <v>2</v>
          </cell>
          <cell r="E589">
            <v>1</v>
          </cell>
          <cell r="F589">
            <v>1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</row>
        <row r="590"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</row>
        <row r="591">
          <cell r="D591">
            <v>14</v>
          </cell>
          <cell r="E591">
            <v>9</v>
          </cell>
          <cell r="F591">
            <v>0</v>
          </cell>
          <cell r="G591">
            <v>0</v>
          </cell>
          <cell r="H591">
            <v>2</v>
          </cell>
          <cell r="I591">
            <v>3</v>
          </cell>
          <cell r="J591">
            <v>0</v>
          </cell>
          <cell r="K591">
            <v>0</v>
          </cell>
        </row>
        <row r="592"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</row>
        <row r="593">
          <cell r="D593">
            <v>5</v>
          </cell>
          <cell r="E593">
            <v>4</v>
          </cell>
          <cell r="F593">
            <v>0</v>
          </cell>
          <cell r="G593">
            <v>0</v>
          </cell>
          <cell r="H593">
            <v>1</v>
          </cell>
          <cell r="I593">
            <v>0</v>
          </cell>
          <cell r="J593">
            <v>0</v>
          </cell>
          <cell r="K593">
            <v>0</v>
          </cell>
        </row>
        <row r="594"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</row>
        <row r="595">
          <cell r="D595">
            <v>1</v>
          </cell>
          <cell r="E595">
            <v>1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</row>
        <row r="596"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</row>
        <row r="597"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</row>
        <row r="598">
          <cell r="D598">
            <v>55</v>
          </cell>
          <cell r="E598">
            <v>3</v>
          </cell>
          <cell r="F598">
            <v>3</v>
          </cell>
          <cell r="G598">
            <v>6</v>
          </cell>
          <cell r="H598">
            <v>22</v>
          </cell>
          <cell r="I598">
            <v>3</v>
          </cell>
          <cell r="J598">
            <v>1</v>
          </cell>
          <cell r="K598">
            <v>17</v>
          </cell>
        </row>
        <row r="599">
          <cell r="D599">
            <v>1606</v>
          </cell>
          <cell r="E599">
            <v>302</v>
          </cell>
          <cell r="F599">
            <v>253</v>
          </cell>
          <cell r="G599">
            <v>356</v>
          </cell>
          <cell r="H599">
            <v>128</v>
          </cell>
          <cell r="I599">
            <v>306</v>
          </cell>
          <cell r="J599">
            <v>136</v>
          </cell>
          <cell r="K599">
            <v>125</v>
          </cell>
        </row>
        <row r="600">
          <cell r="D600">
            <v>25</v>
          </cell>
          <cell r="E600">
            <v>1</v>
          </cell>
          <cell r="F600">
            <v>1</v>
          </cell>
          <cell r="G600">
            <v>4</v>
          </cell>
          <cell r="H600">
            <v>15</v>
          </cell>
          <cell r="I600">
            <v>0</v>
          </cell>
          <cell r="J600">
            <v>0</v>
          </cell>
          <cell r="K600">
            <v>4</v>
          </cell>
        </row>
        <row r="601">
          <cell r="D601">
            <v>756</v>
          </cell>
          <cell r="E601">
            <v>156</v>
          </cell>
          <cell r="F601">
            <v>107</v>
          </cell>
          <cell r="G601">
            <v>171</v>
          </cell>
          <cell r="H601">
            <v>58</v>
          </cell>
          <cell r="I601">
            <v>142</v>
          </cell>
          <cell r="J601">
            <v>61</v>
          </cell>
          <cell r="K601">
            <v>61</v>
          </cell>
        </row>
        <row r="602">
          <cell r="D602">
            <v>1</v>
          </cell>
          <cell r="E602">
            <v>0</v>
          </cell>
          <cell r="F602">
            <v>1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</row>
        <row r="603"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</row>
        <row r="604">
          <cell r="D604">
            <v>1</v>
          </cell>
          <cell r="E604">
            <v>0</v>
          </cell>
          <cell r="F604">
            <v>0</v>
          </cell>
          <cell r="G604">
            <v>0</v>
          </cell>
          <cell r="H604">
            <v>1</v>
          </cell>
          <cell r="I604">
            <v>0</v>
          </cell>
          <cell r="J604">
            <v>0</v>
          </cell>
          <cell r="K604">
            <v>0</v>
          </cell>
        </row>
        <row r="605"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</row>
        <row r="606"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</row>
        <row r="607">
          <cell r="D607">
            <v>1</v>
          </cell>
          <cell r="E607">
            <v>0</v>
          </cell>
          <cell r="F607">
            <v>0</v>
          </cell>
          <cell r="G607">
            <v>1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</row>
        <row r="608"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</row>
        <row r="609">
          <cell r="D609">
            <v>3</v>
          </cell>
          <cell r="E609">
            <v>1</v>
          </cell>
          <cell r="F609">
            <v>0</v>
          </cell>
          <cell r="G609">
            <v>0</v>
          </cell>
          <cell r="H609">
            <v>1</v>
          </cell>
          <cell r="I609">
            <v>0</v>
          </cell>
          <cell r="J609">
            <v>0</v>
          </cell>
          <cell r="K609">
            <v>1</v>
          </cell>
        </row>
        <row r="610"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</row>
        <row r="611"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</row>
        <row r="612">
          <cell r="D612">
            <v>33</v>
          </cell>
          <cell r="E612">
            <v>1</v>
          </cell>
          <cell r="F612">
            <v>2</v>
          </cell>
          <cell r="G612">
            <v>4</v>
          </cell>
          <cell r="H612">
            <v>14</v>
          </cell>
          <cell r="I612">
            <v>2</v>
          </cell>
          <cell r="J612">
            <v>0</v>
          </cell>
          <cell r="K612">
            <v>10</v>
          </cell>
        </row>
        <row r="613">
          <cell r="D613">
            <v>39</v>
          </cell>
          <cell r="E613">
            <v>2</v>
          </cell>
          <cell r="F613">
            <v>3</v>
          </cell>
          <cell r="G613">
            <v>5</v>
          </cell>
          <cell r="H613">
            <v>16</v>
          </cell>
          <cell r="I613">
            <v>2</v>
          </cell>
          <cell r="J613">
            <v>0</v>
          </cell>
          <cell r="K613">
            <v>11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8EF72-8850-41F2-9F56-722100561B2C}">
  <dimension ref="A1:M242"/>
  <sheetViews>
    <sheetView tabSelected="1" topLeftCell="B1" zoomScaleNormal="100" workbookViewId="0">
      <selection activeCell="B9" sqref="B9"/>
    </sheetView>
  </sheetViews>
  <sheetFormatPr defaultColWidth="10.85546875" defaultRowHeight="24" customHeight="1" x14ac:dyDescent="0.25"/>
  <cols>
    <col min="1" max="1" width="7.7109375" style="4" customWidth="1"/>
    <col min="2" max="2" width="75.140625" style="5" customWidth="1"/>
    <col min="3" max="3" width="22" style="3" hidden="1" customWidth="1"/>
    <col min="4" max="4" width="24.42578125" style="3" customWidth="1"/>
    <col min="5" max="5" width="17.85546875" style="3" customWidth="1"/>
    <col min="6" max="6" width="13.85546875" style="3" customWidth="1"/>
    <col min="7" max="7" width="10.7109375" style="3" bestFit="1" customWidth="1"/>
    <col min="8" max="8" width="15" style="3" customWidth="1"/>
    <col min="9" max="9" width="20.140625" style="3" customWidth="1"/>
    <col min="10" max="10" width="15" style="3" customWidth="1"/>
    <col min="11" max="11" width="14.7109375" style="3" customWidth="1"/>
    <col min="12" max="16384" width="10.85546875" style="3"/>
  </cols>
  <sheetData>
    <row r="1" spans="1:13" ht="24" customHeight="1" x14ac:dyDescent="0.25">
      <c r="A1" s="1" t="s">
        <v>0</v>
      </c>
      <c r="B1" s="1"/>
      <c r="C1" s="2"/>
      <c r="D1" s="2"/>
    </row>
    <row r="2" spans="1:13" ht="24" customHeight="1" x14ac:dyDescent="0.25">
      <c r="A2" s="1" t="s">
        <v>1</v>
      </c>
      <c r="B2" s="1"/>
      <c r="C2" s="2"/>
      <c r="D2" s="2"/>
    </row>
    <row r="4" spans="1:13" ht="24" customHeight="1" thickBot="1" x14ac:dyDescent="0.3">
      <c r="D4" s="6" t="s">
        <v>2</v>
      </c>
    </row>
    <row r="5" spans="1:13" ht="25.5" x14ac:dyDescent="0.25">
      <c r="A5" s="7" t="s">
        <v>3</v>
      </c>
      <c r="B5" s="8" t="s">
        <v>4</v>
      </c>
      <c r="C5" s="9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0" t="s">
        <v>10</v>
      </c>
      <c r="I5" s="10" t="s">
        <v>11</v>
      </c>
      <c r="J5" s="10" t="s">
        <v>12</v>
      </c>
      <c r="K5" s="10" t="s">
        <v>13</v>
      </c>
    </row>
    <row r="6" spans="1:13" ht="24" customHeight="1" x14ac:dyDescent="0.25">
      <c r="B6" s="11" t="str">
        <f>'[1]Table by district'!A6</f>
        <v>១. គ្រួសារ និងប្រជាជន</v>
      </c>
      <c r="C6" s="12"/>
      <c r="D6" s="13"/>
    </row>
    <row r="7" spans="1:13" ht="24" customHeight="1" x14ac:dyDescent="0.25">
      <c r="A7" s="14">
        <v>1</v>
      </c>
      <c r="B7" s="15" t="str">
        <f>'[1]Table by district'!B7</f>
        <v>ចំនួនគ្រួសារសរុបក្នុងភូមិយកតាមសៀវភៅគ្រួសារ)</v>
      </c>
      <c r="C7" s="16"/>
      <c r="D7" s="17">
        <f>'[1]Table by district'!D7</f>
        <v>110495</v>
      </c>
      <c r="E7" s="17">
        <f>'[1]Table by district'!E7</f>
        <v>15279</v>
      </c>
      <c r="F7" s="17">
        <f>'[1]Table by district'!F7</f>
        <v>19543</v>
      </c>
      <c r="G7" s="17">
        <f>'[1]Table by district'!G7</f>
        <v>18586</v>
      </c>
      <c r="H7" s="17">
        <f>'[1]Table by district'!H7</f>
        <v>11206</v>
      </c>
      <c r="I7" s="17">
        <f>'[1]Table by district'!I7</f>
        <v>25712</v>
      </c>
      <c r="J7" s="17">
        <f>'[1]Table by district'!J7</f>
        <v>8889</v>
      </c>
      <c r="K7" s="17">
        <f>'[1]Table by district'!K7</f>
        <v>11280</v>
      </c>
    </row>
    <row r="8" spans="1:13" ht="24" customHeight="1" x14ac:dyDescent="0.25">
      <c r="A8" s="18">
        <v>2</v>
      </c>
      <c r="B8" s="19" t="str">
        <f>'[1]Table by district'!B8</f>
        <v>ចំនួនមនុស្សស្រីសរុប</v>
      </c>
      <c r="C8" s="20"/>
      <c r="D8" s="21">
        <f>'[1]Table by district'!D8</f>
        <v>229619</v>
      </c>
      <c r="E8" s="21">
        <f>'[1]Table by district'!E8</f>
        <v>34321</v>
      </c>
      <c r="F8" s="21">
        <f>'[1]Table by district'!F8</f>
        <v>41764</v>
      </c>
      <c r="G8" s="21">
        <f>'[1]Table by district'!G8</f>
        <v>38453</v>
      </c>
      <c r="H8" s="21">
        <f>'[1]Table by district'!H8</f>
        <v>23574</v>
      </c>
      <c r="I8" s="21">
        <f>'[1]Table by district'!I8</f>
        <v>51367</v>
      </c>
      <c r="J8" s="21">
        <f>'[1]Table by district'!J8</f>
        <v>17691</v>
      </c>
      <c r="K8" s="21">
        <f>'[1]Table by district'!K8</f>
        <v>22449</v>
      </c>
    </row>
    <row r="9" spans="1:13" ht="24" customHeight="1" x14ac:dyDescent="0.25">
      <c r="A9" s="18">
        <v>3</v>
      </c>
      <c r="B9" s="19" t="str">
        <f>'[1]Table by district'!B9</f>
        <v>ចំនួនមនុស្សប្រុសសរុប</v>
      </c>
      <c r="C9" s="20"/>
      <c r="D9" s="21">
        <f>'[1]Table by district'!D9</f>
        <v>226201</v>
      </c>
      <c r="E9" s="21">
        <f>'[1]Table by district'!E9</f>
        <v>32571</v>
      </c>
      <c r="F9" s="21">
        <f>'[1]Table by district'!F9</f>
        <v>41731</v>
      </c>
      <c r="G9" s="21">
        <f>'[1]Table by district'!G9</f>
        <v>37080</v>
      </c>
      <c r="H9" s="21">
        <f>'[1]Table by district'!H9</f>
        <v>23249</v>
      </c>
      <c r="I9" s="21">
        <f>'[1]Table by district'!I9</f>
        <v>51722</v>
      </c>
      <c r="J9" s="21">
        <f>'[1]Table by district'!J9</f>
        <v>17085</v>
      </c>
      <c r="K9" s="21">
        <f>'[1]Table by district'!K9</f>
        <v>22763</v>
      </c>
    </row>
    <row r="10" spans="1:13" ht="24" customHeight="1" x14ac:dyDescent="0.25">
      <c r="A10" s="22">
        <v>4</v>
      </c>
      <c r="B10" s="23" t="str">
        <f>'[1]Table by district'!B10</f>
        <v>ចំនួនគ្រួសារមានស្ដ្រីជាមេគ្រួសារ</v>
      </c>
      <c r="C10" s="24"/>
      <c r="D10" s="25">
        <f>'[1]Table by district'!D10</f>
        <v>10502</v>
      </c>
      <c r="E10" s="25">
        <f>'[1]Table by district'!E10</f>
        <v>1945</v>
      </c>
      <c r="F10" s="25">
        <f>'[1]Table by district'!F10</f>
        <v>1705</v>
      </c>
      <c r="G10" s="25">
        <f>'[1]Table by district'!G10</f>
        <v>1891</v>
      </c>
      <c r="H10" s="25">
        <f>'[1]Table by district'!H10</f>
        <v>1022</v>
      </c>
      <c r="I10" s="25">
        <f>'[1]Table by district'!I10</f>
        <v>2200</v>
      </c>
      <c r="J10" s="25">
        <f>'[1]Table by district'!J10</f>
        <v>1014</v>
      </c>
      <c r="K10" s="25">
        <f>'[1]Table by district'!K10</f>
        <v>725</v>
      </c>
    </row>
    <row r="11" spans="1:13" ht="24" customHeight="1" x14ac:dyDescent="0.25">
      <c r="A11" s="14">
        <v>5</v>
      </c>
      <c r="B11" s="26" t="s">
        <v>14</v>
      </c>
      <c r="C11" s="27"/>
      <c r="D11" s="28">
        <f>(D8+D9)/D7</f>
        <v>4.1252545364043618</v>
      </c>
      <c r="E11" s="28">
        <f t="shared" ref="E11:K11" si="0">(E8+E9)/E7</f>
        <v>4.3780352117285162</v>
      </c>
      <c r="F11" s="28">
        <f t="shared" si="0"/>
        <v>4.2723737399580415</v>
      </c>
      <c r="G11" s="28">
        <f t="shared" si="0"/>
        <v>4.0639728828150217</v>
      </c>
      <c r="H11" s="28">
        <f t="shared" si="0"/>
        <v>4.1783865786185972</v>
      </c>
      <c r="I11" s="28">
        <f t="shared" si="0"/>
        <v>4.0093730553827003</v>
      </c>
      <c r="J11" s="28">
        <f t="shared" si="0"/>
        <v>3.9122510968612891</v>
      </c>
      <c r="K11" s="28">
        <f t="shared" si="0"/>
        <v>4.008156028368794</v>
      </c>
    </row>
    <row r="12" spans="1:13" ht="24" customHeight="1" x14ac:dyDescent="0.25">
      <c r="A12" s="18">
        <v>6</v>
      </c>
      <c r="B12" s="26" t="s">
        <v>15</v>
      </c>
      <c r="C12" s="27"/>
      <c r="D12" s="28">
        <f>D8/(D8+D9)*100</f>
        <v>50.374928699925412</v>
      </c>
      <c r="E12" s="28">
        <f t="shared" ref="E12:K12" si="1">E8/(E8+E9)*100</f>
        <v>51.308078694014235</v>
      </c>
      <c r="F12" s="28">
        <f t="shared" si="1"/>
        <v>50.019761662374997</v>
      </c>
      <c r="G12" s="28">
        <f t="shared" si="1"/>
        <v>50.908874266876722</v>
      </c>
      <c r="H12" s="28">
        <f t="shared" si="1"/>
        <v>50.347051662644425</v>
      </c>
      <c r="I12" s="28">
        <f t="shared" si="1"/>
        <v>49.82781868094559</v>
      </c>
      <c r="J12" s="28">
        <f t="shared" si="1"/>
        <v>50.871290545203586</v>
      </c>
      <c r="K12" s="28">
        <f t="shared" si="1"/>
        <v>49.652747058303106</v>
      </c>
    </row>
    <row r="13" spans="1:13" ht="24" customHeight="1" x14ac:dyDescent="0.25">
      <c r="A13" s="18">
        <v>7</v>
      </c>
      <c r="B13" s="26" t="s">
        <v>16</v>
      </c>
      <c r="C13" s="27"/>
      <c r="D13" s="28">
        <f>D9/D8*100</f>
        <v>98.511447223444051</v>
      </c>
      <c r="E13" s="28">
        <f t="shared" ref="E13:K13" si="2">E9/E8*100</f>
        <v>94.901080970834187</v>
      </c>
      <c r="F13" s="28">
        <f t="shared" si="2"/>
        <v>99.92098458002107</v>
      </c>
      <c r="G13" s="28">
        <f t="shared" si="2"/>
        <v>96.429407328426905</v>
      </c>
      <c r="H13" s="28">
        <f t="shared" si="2"/>
        <v>98.621362518028334</v>
      </c>
      <c r="I13" s="28">
        <f t="shared" si="2"/>
        <v>100.69110518426227</v>
      </c>
      <c r="J13" s="28">
        <f t="shared" si="2"/>
        <v>96.574529421739868</v>
      </c>
      <c r="K13" s="28">
        <f t="shared" si="2"/>
        <v>101.39872600115818</v>
      </c>
    </row>
    <row r="14" spans="1:13" ht="24" customHeight="1" x14ac:dyDescent="0.25">
      <c r="A14" s="22">
        <v>8</v>
      </c>
      <c r="B14" s="26" t="s">
        <v>17</v>
      </c>
      <c r="C14" s="27"/>
      <c r="D14" s="28">
        <f>D10/D7*100</f>
        <v>9.5045024661749391</v>
      </c>
      <c r="E14" s="28">
        <f t="shared" ref="E14:K14" si="3">E10/E7*100</f>
        <v>12.729890699653119</v>
      </c>
      <c r="F14" s="28">
        <f t="shared" si="3"/>
        <v>8.7243514301796043</v>
      </c>
      <c r="G14" s="28">
        <f t="shared" si="3"/>
        <v>10.174324760572475</v>
      </c>
      <c r="H14" s="28">
        <f t="shared" si="3"/>
        <v>9.1201142245225775</v>
      </c>
      <c r="I14" s="28">
        <f t="shared" si="3"/>
        <v>8.5563161169881781</v>
      </c>
      <c r="J14" s="28">
        <f t="shared" si="3"/>
        <v>11.4073574080324</v>
      </c>
      <c r="K14" s="28">
        <f t="shared" si="3"/>
        <v>6.4273049645390072</v>
      </c>
    </row>
    <row r="15" spans="1:13" ht="24" customHeight="1" x14ac:dyDescent="0.25">
      <c r="B15" s="29" t="str">
        <f>'[1]Table by district'!A11</f>
        <v>២. ស្ថិតិតាមក្រុមអាយុ</v>
      </c>
      <c r="C15" s="30"/>
      <c r="D15" s="31">
        <f>SUM(D16:D21)</f>
        <v>455820</v>
      </c>
      <c r="E15" s="31">
        <f t="shared" ref="E15:K15" si="4">SUM(E16:E21)</f>
        <v>66892</v>
      </c>
      <c r="F15" s="31">
        <f t="shared" si="4"/>
        <v>83495</v>
      </c>
      <c r="G15" s="31">
        <f t="shared" si="4"/>
        <v>75533</v>
      </c>
      <c r="H15" s="31">
        <f t="shared" si="4"/>
        <v>46823</v>
      </c>
      <c r="I15" s="31">
        <f t="shared" si="4"/>
        <v>103089</v>
      </c>
      <c r="J15" s="31">
        <f t="shared" si="4"/>
        <v>34776</v>
      </c>
      <c r="K15" s="31">
        <f t="shared" si="4"/>
        <v>45212</v>
      </c>
      <c r="M15" s="32"/>
    </row>
    <row r="16" spans="1:13" ht="24" customHeight="1" x14ac:dyDescent="0.25">
      <c r="A16" s="14">
        <v>1</v>
      </c>
      <c r="B16" s="5" t="s">
        <v>18</v>
      </c>
      <c r="C16" s="33"/>
      <c r="D16" s="21">
        <f>SUM('[1]Table by district'!D12,'[1]Table by district'!D14,'[1]Table by district'!D16,'[1]Table by district'!D18,'[1]Table by district'!D20,'[1]Table by district'!D22)</f>
        <v>72166</v>
      </c>
      <c r="E16" s="21">
        <f>SUM('[1]Table by district'!E12,'[1]Table by district'!E14,'[1]Table by district'!E16,'[1]Table by district'!E18,'[1]Table by district'!E20,'[1]Table by district'!E22)</f>
        <v>10391</v>
      </c>
      <c r="F16" s="21">
        <f>SUM('[1]Table by district'!F12,'[1]Table by district'!F14,'[1]Table by district'!F16,'[1]Table by district'!F18,'[1]Table by district'!F20,'[1]Table by district'!F22)</f>
        <v>13743</v>
      </c>
      <c r="G16" s="21">
        <f>SUM('[1]Table by district'!G12,'[1]Table by district'!G14,'[1]Table by district'!G16,'[1]Table by district'!G18,'[1]Table by district'!G20,'[1]Table by district'!G22)</f>
        <v>11081</v>
      </c>
      <c r="H16" s="21">
        <f>SUM('[1]Table by district'!H12,'[1]Table by district'!H14,'[1]Table by district'!H16,'[1]Table by district'!H18,'[1]Table by district'!H20,'[1]Table by district'!H22)</f>
        <v>7671</v>
      </c>
      <c r="I16" s="21">
        <f>SUM('[1]Table by district'!I12,'[1]Table by district'!I14,'[1]Table by district'!I16,'[1]Table by district'!I18,'[1]Table by district'!I20,'[1]Table by district'!I22)</f>
        <v>16706</v>
      </c>
      <c r="J16" s="21">
        <f>SUM('[1]Table by district'!J12,'[1]Table by district'!J14,'[1]Table by district'!J16,'[1]Table by district'!J18,'[1]Table by district'!J20,'[1]Table by district'!J22)</f>
        <v>5115</v>
      </c>
      <c r="K16" s="21">
        <f>SUM('[1]Table by district'!K12,'[1]Table by district'!K14,'[1]Table by district'!K16,'[1]Table by district'!K18,'[1]Table by district'!K20,'[1]Table by district'!K22)</f>
        <v>7459</v>
      </c>
    </row>
    <row r="17" spans="1:11" ht="24" customHeight="1" x14ac:dyDescent="0.25">
      <c r="A17" s="18">
        <v>2</v>
      </c>
      <c r="B17" s="5" t="s">
        <v>19</v>
      </c>
      <c r="C17" s="33"/>
      <c r="D17" s="21">
        <f>SUM('[1]Table by district'!D13,'[1]Table by district'!D15,'[1]Table by district'!D17,'[1]Table by district'!D19,'[1]Table by district'!D21,'[1]Table by district'!D23)</f>
        <v>70428</v>
      </c>
      <c r="E17" s="21">
        <f>SUM('[1]Table by district'!E13,'[1]Table by district'!E15,'[1]Table by district'!E17,'[1]Table by district'!E19,'[1]Table by district'!E21,'[1]Table by district'!E23)</f>
        <v>10436</v>
      </c>
      <c r="F17" s="21">
        <f>SUM('[1]Table by district'!F13,'[1]Table by district'!F15,'[1]Table by district'!F17,'[1]Table by district'!F19,'[1]Table by district'!F21,'[1]Table by district'!F23)</f>
        <v>13473</v>
      </c>
      <c r="G17" s="21">
        <f>SUM('[1]Table by district'!G13,'[1]Table by district'!G15,'[1]Table by district'!G17,'[1]Table by district'!G19,'[1]Table by district'!G21,'[1]Table by district'!G23)</f>
        <v>11159</v>
      </c>
      <c r="H17" s="21">
        <f>SUM('[1]Table by district'!H13,'[1]Table by district'!H15,'[1]Table by district'!H17,'[1]Table by district'!H19,'[1]Table by district'!H21,'[1]Table by district'!H23)</f>
        <v>7636</v>
      </c>
      <c r="I17" s="21">
        <f>SUM('[1]Table by district'!I13,'[1]Table by district'!I15,'[1]Table by district'!I17,'[1]Table by district'!I19,'[1]Table by district'!I21,'[1]Table by district'!I23)</f>
        <v>15458</v>
      </c>
      <c r="J17" s="21">
        <f>SUM('[1]Table by district'!J13,'[1]Table by district'!J15,'[1]Table by district'!J17,'[1]Table by district'!J19,'[1]Table by district'!J21,'[1]Table by district'!J23)</f>
        <v>5149</v>
      </c>
      <c r="K17" s="21">
        <f>SUM('[1]Table by district'!K13,'[1]Table by district'!K15,'[1]Table by district'!K17,'[1]Table by district'!K19,'[1]Table by district'!K21,'[1]Table by district'!K23)</f>
        <v>7117</v>
      </c>
    </row>
    <row r="18" spans="1:11" ht="24" customHeight="1" x14ac:dyDescent="0.25">
      <c r="A18" s="18">
        <v>3</v>
      </c>
      <c r="B18" s="5" t="s">
        <v>20</v>
      </c>
      <c r="C18" s="33"/>
      <c r="D18" s="21">
        <f>SUM('[1]Table by district'!D24,'[1]Table by district'!D26,'[1]Table by district'!D28,'[1]Table by district'!D30,'[1]Table by district'!D32)</f>
        <v>136275</v>
      </c>
      <c r="E18" s="21">
        <f>SUM('[1]Table by district'!E24,'[1]Table by district'!E26,'[1]Table by district'!E28,'[1]Table by district'!E30,'[1]Table by district'!E32)</f>
        <v>19474</v>
      </c>
      <c r="F18" s="21">
        <f>SUM('[1]Table by district'!F24,'[1]Table by district'!F26,'[1]Table by district'!F28,'[1]Table by district'!F30,'[1]Table by district'!F32)</f>
        <v>24634</v>
      </c>
      <c r="G18" s="21">
        <f>SUM('[1]Table by district'!G24,'[1]Table by district'!G26,'[1]Table by district'!G28,'[1]Table by district'!G30,'[1]Table by district'!G32)</f>
        <v>22445</v>
      </c>
      <c r="H18" s="21">
        <f>SUM('[1]Table by district'!H24,'[1]Table by district'!H26,'[1]Table by district'!H28,'[1]Table by district'!H30,'[1]Table by district'!H32)</f>
        <v>13828</v>
      </c>
      <c r="I18" s="21">
        <f>SUM('[1]Table by district'!I24,'[1]Table by district'!I26,'[1]Table by district'!I28,'[1]Table by district'!I30,'[1]Table by district'!I32)</f>
        <v>31649</v>
      </c>
      <c r="J18" s="21">
        <f>SUM('[1]Table by district'!J24,'[1]Table by district'!J26,'[1]Table by district'!J28,'[1]Table by district'!J30,'[1]Table by district'!J32)</f>
        <v>10471</v>
      </c>
      <c r="K18" s="21">
        <f>SUM('[1]Table by district'!K24,'[1]Table by district'!K26,'[1]Table by district'!K28,'[1]Table by district'!K30,'[1]Table by district'!K32)</f>
        <v>13774</v>
      </c>
    </row>
    <row r="19" spans="1:11" ht="24" customHeight="1" x14ac:dyDescent="0.25">
      <c r="A19" s="22">
        <v>4</v>
      </c>
      <c r="B19" s="5" t="s">
        <v>21</v>
      </c>
      <c r="C19" s="33"/>
      <c r="D19" s="21">
        <f>SUM('[1]Table by district'!D25,'[1]Table by district'!D27,'[1]Table by district'!D29,'[1]Table by district'!D31,'[1]Table by district'!D33)</f>
        <v>138977</v>
      </c>
      <c r="E19" s="21">
        <f>SUM('[1]Table by district'!E25,'[1]Table by district'!E27,'[1]Table by district'!E29,'[1]Table by district'!E31,'[1]Table by district'!E33)</f>
        <v>20511</v>
      </c>
      <c r="F19" s="21">
        <f>SUM('[1]Table by district'!F25,'[1]Table by district'!F27,'[1]Table by district'!F29,'[1]Table by district'!F31,'[1]Table by district'!F33)</f>
        <v>24645</v>
      </c>
      <c r="G19" s="21">
        <f>SUM('[1]Table by district'!G25,'[1]Table by district'!G27,'[1]Table by district'!G29,'[1]Table by district'!G31,'[1]Table by district'!G33)</f>
        <v>23112</v>
      </c>
      <c r="H19" s="21">
        <f>SUM('[1]Table by district'!H25,'[1]Table by district'!H27,'[1]Table by district'!H29,'[1]Table by district'!H31,'[1]Table by district'!H33)</f>
        <v>13807</v>
      </c>
      <c r="I19" s="21">
        <f>SUM('[1]Table by district'!I25,'[1]Table by district'!I27,'[1]Table by district'!I29,'[1]Table by district'!I31,'[1]Table by district'!I33)</f>
        <v>32268</v>
      </c>
      <c r="J19" s="21">
        <f>SUM('[1]Table by district'!J25,'[1]Table by district'!J27,'[1]Table by district'!J29,'[1]Table by district'!J31,'[1]Table by district'!J33)</f>
        <v>10813</v>
      </c>
      <c r="K19" s="21">
        <f>SUM('[1]Table by district'!K25,'[1]Table by district'!K27,'[1]Table by district'!K29,'[1]Table by district'!K31,'[1]Table by district'!K33)</f>
        <v>13821</v>
      </c>
    </row>
    <row r="20" spans="1:11" ht="24" customHeight="1" x14ac:dyDescent="0.25">
      <c r="A20" s="14">
        <v>5</v>
      </c>
      <c r="B20" s="5" t="s">
        <v>22</v>
      </c>
      <c r="C20" s="33"/>
      <c r="D20" s="21">
        <f>'[1]Table by district'!D34</f>
        <v>17760</v>
      </c>
      <c r="E20" s="21">
        <f>'[1]Table by district'!E34</f>
        <v>2706</v>
      </c>
      <c r="F20" s="21">
        <f>'[1]Table by district'!F34</f>
        <v>3354</v>
      </c>
      <c r="G20" s="21">
        <f>'[1]Table by district'!G34</f>
        <v>3554</v>
      </c>
      <c r="H20" s="21">
        <f>'[1]Table by district'!H34</f>
        <v>1750</v>
      </c>
      <c r="I20" s="21">
        <f>'[1]Table by district'!I34</f>
        <v>3367</v>
      </c>
      <c r="J20" s="21">
        <f>'[1]Table by district'!J34</f>
        <v>1499</v>
      </c>
      <c r="K20" s="21">
        <f>'[1]Table by district'!K34</f>
        <v>1530</v>
      </c>
    </row>
    <row r="21" spans="1:11" ht="24" customHeight="1" x14ac:dyDescent="0.25">
      <c r="A21" s="18">
        <v>6</v>
      </c>
      <c r="B21" s="5" t="s">
        <v>23</v>
      </c>
      <c r="C21" s="33"/>
      <c r="D21" s="21">
        <f>'[1]Table by district'!D35</f>
        <v>20214</v>
      </c>
      <c r="E21" s="21">
        <f>'[1]Table by district'!E35</f>
        <v>3374</v>
      </c>
      <c r="F21" s="21">
        <f>'[1]Table by district'!F35</f>
        <v>3646</v>
      </c>
      <c r="G21" s="21">
        <f>'[1]Table by district'!G35</f>
        <v>4182</v>
      </c>
      <c r="H21" s="21">
        <f>'[1]Table by district'!H35</f>
        <v>2131</v>
      </c>
      <c r="I21" s="21">
        <f>'[1]Table by district'!I35</f>
        <v>3641</v>
      </c>
      <c r="J21" s="21">
        <f>'[1]Table by district'!J35</f>
        <v>1729</v>
      </c>
      <c r="K21" s="21">
        <f>'[1]Table by district'!K35</f>
        <v>1511</v>
      </c>
    </row>
    <row r="22" spans="1:11" ht="24" customHeight="1" x14ac:dyDescent="0.25">
      <c r="A22" s="18">
        <v>7</v>
      </c>
      <c r="B22" s="34" t="s">
        <v>24</v>
      </c>
      <c r="C22" s="35"/>
      <c r="D22" s="36">
        <f>D16/D17*100</f>
        <v>102.4677685011643</v>
      </c>
      <c r="E22" s="36">
        <f t="shared" ref="E22:K22" si="5">E16/E17*100</f>
        <v>99.568800306630891</v>
      </c>
      <c r="F22" s="36">
        <f t="shared" si="5"/>
        <v>102.00400801603206</v>
      </c>
      <c r="G22" s="36">
        <f t="shared" si="5"/>
        <v>99.301012635540815</v>
      </c>
      <c r="H22" s="36">
        <f t="shared" si="5"/>
        <v>100.45835515976951</v>
      </c>
      <c r="I22" s="36">
        <f t="shared" si="5"/>
        <v>108.07348945529822</v>
      </c>
      <c r="J22" s="36">
        <f t="shared" si="5"/>
        <v>99.339677607302391</v>
      </c>
      <c r="K22" s="36">
        <f t="shared" si="5"/>
        <v>104.8053955318252</v>
      </c>
    </row>
    <row r="23" spans="1:11" ht="24" customHeight="1" x14ac:dyDescent="0.25">
      <c r="A23" s="22">
        <v>8</v>
      </c>
      <c r="B23" s="34" t="s">
        <v>25</v>
      </c>
      <c r="C23" s="35"/>
      <c r="D23" s="36">
        <f>D18/D19*100</f>
        <v>98.055793404664087</v>
      </c>
      <c r="E23" s="36">
        <f t="shared" ref="E23:K23" si="6">E18/E19*100</f>
        <v>94.944176295646244</v>
      </c>
      <c r="F23" s="36">
        <f t="shared" si="6"/>
        <v>99.955366200040572</v>
      </c>
      <c r="G23" s="36">
        <f t="shared" si="6"/>
        <v>97.114053305642088</v>
      </c>
      <c r="H23" s="36">
        <f t="shared" si="6"/>
        <v>100.15209676251177</v>
      </c>
      <c r="I23" s="36">
        <f t="shared" si="6"/>
        <v>98.081690839221523</v>
      </c>
      <c r="J23" s="36">
        <f t="shared" si="6"/>
        <v>96.837140479052991</v>
      </c>
      <c r="K23" s="36">
        <f t="shared" si="6"/>
        <v>99.659937775848348</v>
      </c>
    </row>
    <row r="24" spans="1:11" ht="24" customHeight="1" x14ac:dyDescent="0.25">
      <c r="A24" s="14">
        <v>9</v>
      </c>
      <c r="B24" s="34" t="s">
        <v>26</v>
      </c>
      <c r="C24" s="35"/>
      <c r="D24" s="36">
        <f>D20/D21*100</f>
        <v>87.859899079845647</v>
      </c>
      <c r="E24" s="36">
        <f t="shared" ref="E24:K24" si="7">E20/E21*100</f>
        <v>80.201541197391819</v>
      </c>
      <c r="F24" s="36">
        <f t="shared" si="7"/>
        <v>91.991223258365324</v>
      </c>
      <c r="G24" s="36">
        <f t="shared" si="7"/>
        <v>84.983261597321857</v>
      </c>
      <c r="H24" s="36">
        <f t="shared" si="7"/>
        <v>82.121069920225239</v>
      </c>
      <c r="I24" s="36">
        <f t="shared" si="7"/>
        <v>92.47459489151332</v>
      </c>
      <c r="J24" s="36">
        <f t="shared" si="7"/>
        <v>86.697513013302483</v>
      </c>
      <c r="K24" s="36">
        <f t="shared" si="7"/>
        <v>101.25744540039709</v>
      </c>
    </row>
    <row r="25" spans="1:11" ht="24" customHeight="1" x14ac:dyDescent="0.25">
      <c r="A25" s="18">
        <v>10</v>
      </c>
      <c r="B25" s="34" t="s">
        <v>27</v>
      </c>
      <c r="C25" s="35"/>
      <c r="D25" s="36">
        <f>((D16+D17)/(D18+D19))*100</f>
        <v>51.804891517591159</v>
      </c>
      <c r="E25" s="36">
        <f t="shared" ref="E25:K25" si="8">((E16+E17)/(E18+E19))*100</f>
        <v>52.087032637238963</v>
      </c>
      <c r="F25" s="36">
        <f t="shared" si="8"/>
        <v>55.228393433308312</v>
      </c>
      <c r="G25" s="36">
        <f t="shared" si="8"/>
        <v>48.817964308448758</v>
      </c>
      <c r="H25" s="36">
        <f t="shared" si="8"/>
        <v>55.389904107110546</v>
      </c>
      <c r="I25" s="36">
        <f t="shared" si="8"/>
        <v>50.321510709201</v>
      </c>
      <c r="J25" s="36">
        <f t="shared" si="8"/>
        <v>48.224018041721486</v>
      </c>
      <c r="K25" s="36">
        <f t="shared" si="8"/>
        <v>52.821163254212721</v>
      </c>
    </row>
    <row r="26" spans="1:11" ht="24" customHeight="1" x14ac:dyDescent="0.25">
      <c r="A26" s="18">
        <v>11</v>
      </c>
      <c r="B26" s="34" t="s">
        <v>28</v>
      </c>
      <c r="C26" s="35"/>
      <c r="D26" s="36">
        <f>((D20+D21)/(D18+D19))*100</f>
        <v>13.796085042070539</v>
      </c>
      <c r="E26" s="36">
        <f t="shared" ref="E26:K26" si="9">((E20+E21)/(E18+E19))*100</f>
        <v>15.205702138301863</v>
      </c>
      <c r="F26" s="36">
        <f t="shared" si="9"/>
        <v>14.204833701982588</v>
      </c>
      <c r="G26" s="36">
        <f t="shared" si="9"/>
        <v>16.980924995061134</v>
      </c>
      <c r="H26" s="36">
        <f t="shared" si="9"/>
        <v>14.043785055183644</v>
      </c>
      <c r="I26" s="36">
        <f t="shared" si="9"/>
        <v>10.964219221803276</v>
      </c>
      <c r="J26" s="36">
        <f t="shared" si="9"/>
        <v>15.166322119902272</v>
      </c>
      <c r="K26" s="36">
        <f t="shared" si="9"/>
        <v>11.020112339191883</v>
      </c>
    </row>
    <row r="27" spans="1:11" ht="24" customHeight="1" x14ac:dyDescent="0.25">
      <c r="A27" s="22">
        <v>12</v>
      </c>
      <c r="B27" s="34" t="s">
        <v>29</v>
      </c>
      <c r="C27" s="35"/>
      <c r="D27" s="36">
        <f>(D16+D17+D20+D21)/(D19+D18)*100</f>
        <v>65.600976559661689</v>
      </c>
      <c r="E27" s="36">
        <f t="shared" ref="E27:K27" si="10">(E16+E17+E20+E21)/(E19+E18)*100</f>
        <v>67.292734775540836</v>
      </c>
      <c r="F27" s="36">
        <f t="shared" si="10"/>
        <v>69.433227135290892</v>
      </c>
      <c r="G27" s="36">
        <f t="shared" si="10"/>
        <v>65.798889303509895</v>
      </c>
      <c r="H27" s="36">
        <f t="shared" si="10"/>
        <v>69.433689162294186</v>
      </c>
      <c r="I27" s="36">
        <f t="shared" si="10"/>
        <v>61.285729931004276</v>
      </c>
      <c r="J27" s="36">
        <f t="shared" si="10"/>
        <v>63.390340161623762</v>
      </c>
      <c r="K27" s="36">
        <f t="shared" si="10"/>
        <v>63.841275593404603</v>
      </c>
    </row>
    <row r="28" spans="1:11" ht="24" customHeight="1" x14ac:dyDescent="0.25">
      <c r="A28" s="14">
        <v>13</v>
      </c>
      <c r="B28" s="34" t="s">
        <v>30</v>
      </c>
      <c r="C28" s="35"/>
      <c r="D28" s="36">
        <f>(D18+D19)/(D16+D17)*100</f>
        <v>193.03196487930768</v>
      </c>
      <c r="E28" s="36">
        <f t="shared" ref="E28:K28" si="11">(E18+E19)/(E16+E17)*100</f>
        <v>191.9863638546118</v>
      </c>
      <c r="F28" s="36">
        <f t="shared" si="11"/>
        <v>181.06628453850675</v>
      </c>
      <c r="G28" s="36">
        <f t="shared" si="11"/>
        <v>204.84262589928059</v>
      </c>
      <c r="H28" s="36">
        <f t="shared" si="11"/>
        <v>180.53831580322728</v>
      </c>
      <c r="I28" s="36">
        <f t="shared" si="11"/>
        <v>198.72217385897278</v>
      </c>
      <c r="J28" s="36">
        <f t="shared" si="11"/>
        <v>207.36554949337491</v>
      </c>
      <c r="K28" s="36">
        <f t="shared" si="11"/>
        <v>189.31805708013172</v>
      </c>
    </row>
    <row r="29" spans="1:11" ht="24" customHeight="1" x14ac:dyDescent="0.25">
      <c r="A29" s="18">
        <v>14</v>
      </c>
      <c r="B29" s="34" t="s">
        <v>31</v>
      </c>
      <c r="C29" s="35"/>
      <c r="D29" s="36">
        <f>(D18+D19)/(D20+D21)*100</f>
        <v>724.84331384631582</v>
      </c>
      <c r="E29" s="36">
        <f t="shared" ref="E29:K29" si="12">(E18+E19)/(E20+E21)*100</f>
        <v>657.64802631578948</v>
      </c>
      <c r="F29" s="36">
        <f t="shared" si="12"/>
        <v>703.98571428571427</v>
      </c>
      <c r="G29" s="36">
        <f t="shared" si="12"/>
        <v>588.89607032057916</v>
      </c>
      <c r="H29" s="36">
        <f t="shared" si="12"/>
        <v>712.05874774542644</v>
      </c>
      <c r="I29" s="36">
        <f t="shared" si="12"/>
        <v>912.05764840182655</v>
      </c>
      <c r="J29" s="36">
        <f t="shared" si="12"/>
        <v>659.35563816604713</v>
      </c>
      <c r="K29" s="36">
        <f t="shared" si="12"/>
        <v>907.43176586649133</v>
      </c>
    </row>
    <row r="30" spans="1:11" ht="24" customHeight="1" x14ac:dyDescent="0.25">
      <c r="A30" s="18">
        <v>15</v>
      </c>
      <c r="B30" s="34" t="s">
        <v>32</v>
      </c>
      <c r="C30" s="35"/>
      <c r="D30" s="36">
        <f>(D18+D19)/(D16+D17+D20+D21)*100</f>
        <v>152.43675512826195</v>
      </c>
      <c r="E30" s="36">
        <f t="shared" ref="E30:K30" si="13">(E18+E19)/(E16+E17+E20+E21)*100</f>
        <v>148.60445237298845</v>
      </c>
      <c r="F30" s="36">
        <f t="shared" si="13"/>
        <v>144.02326397007249</v>
      </c>
      <c r="G30" s="36">
        <f t="shared" si="13"/>
        <v>151.97824926607953</v>
      </c>
      <c r="H30" s="36">
        <f t="shared" si="13"/>
        <v>144.02230560767146</v>
      </c>
      <c r="I30" s="36">
        <f t="shared" si="13"/>
        <v>163.17012151536812</v>
      </c>
      <c r="J30" s="36">
        <f t="shared" si="13"/>
        <v>157.75274236584642</v>
      </c>
      <c r="K30" s="36">
        <f t="shared" si="13"/>
        <v>156.6384742010558</v>
      </c>
    </row>
    <row r="31" spans="1:11" ht="24" customHeight="1" x14ac:dyDescent="0.25">
      <c r="B31" s="29" t="str">
        <f>'[1]Table by district'!A36</f>
        <v>៣. ការអប់រំតាមក្រុមអាយុ</v>
      </c>
      <c r="C31" s="30"/>
      <c r="D31" s="31">
        <f>SUM(D32:D43)</f>
        <v>124924</v>
      </c>
      <c r="E31" s="31">
        <f t="shared" ref="E31:K31" si="14">SUM(E32:E43)</f>
        <v>20416</v>
      </c>
      <c r="F31" s="31">
        <f t="shared" si="14"/>
        <v>21132</v>
      </c>
      <c r="G31" s="31">
        <f t="shared" si="14"/>
        <v>20932</v>
      </c>
      <c r="H31" s="31">
        <f t="shared" si="14"/>
        <v>11501</v>
      </c>
      <c r="I31" s="31">
        <f t="shared" si="14"/>
        <v>27693</v>
      </c>
      <c r="J31" s="31">
        <f t="shared" si="14"/>
        <v>13982</v>
      </c>
      <c r="K31" s="31">
        <f t="shared" si="14"/>
        <v>9268</v>
      </c>
    </row>
    <row r="32" spans="1:11" ht="24" customHeight="1" x14ac:dyDescent="0.25">
      <c r="A32" s="14">
        <v>1</v>
      </c>
      <c r="B32" s="5" t="s">
        <v>33</v>
      </c>
      <c r="C32" s="16"/>
      <c r="D32" s="17">
        <f>SUM('[1]Table by district'!D37,'[1]Table by district'!D39,'[1]Table by district'!D41)</f>
        <v>7752</v>
      </c>
      <c r="E32" s="17">
        <f>SUM('[1]Table by district'!E37,'[1]Table by district'!E39,'[1]Table by district'!E41)</f>
        <v>879</v>
      </c>
      <c r="F32" s="17">
        <f>SUM('[1]Table by district'!F37,'[1]Table by district'!F39,'[1]Table by district'!F41)</f>
        <v>1427</v>
      </c>
      <c r="G32" s="17">
        <f>SUM('[1]Table by district'!G37,'[1]Table by district'!G39,'[1]Table by district'!G41)</f>
        <v>1187</v>
      </c>
      <c r="H32" s="17">
        <f>SUM('[1]Table by district'!H37,'[1]Table by district'!H39,'[1]Table by district'!H41)</f>
        <v>792</v>
      </c>
      <c r="I32" s="17">
        <f>SUM('[1]Table by district'!I37,'[1]Table by district'!I39,'[1]Table by district'!I41)</f>
        <v>1769</v>
      </c>
      <c r="J32" s="17">
        <f>SUM('[1]Table by district'!J37,'[1]Table by district'!J39,'[1]Table by district'!J41)</f>
        <v>1035</v>
      </c>
      <c r="K32" s="17">
        <f>SUM('[1]Table by district'!K37,'[1]Table by district'!K39,'[1]Table by district'!K41)</f>
        <v>663</v>
      </c>
    </row>
    <row r="33" spans="1:11" ht="24" customHeight="1" x14ac:dyDescent="0.25">
      <c r="A33" s="18">
        <v>2</v>
      </c>
      <c r="B33" s="5" t="s">
        <v>34</v>
      </c>
      <c r="C33" s="20"/>
      <c r="D33" s="17">
        <f>SUM('[1]Table by district'!D38,'[1]Table by district'!D40,'[1]Table by district'!D42)</f>
        <v>7542</v>
      </c>
      <c r="E33" s="17">
        <f>SUM('[1]Table by district'!E38,'[1]Table by district'!E40,'[1]Table by district'!E42)</f>
        <v>919</v>
      </c>
      <c r="F33" s="17">
        <f>SUM('[1]Table by district'!F38,'[1]Table by district'!F40,'[1]Table by district'!F42)</f>
        <v>1304</v>
      </c>
      <c r="G33" s="17">
        <f>SUM('[1]Table by district'!G38,'[1]Table by district'!G40,'[1]Table by district'!G42)</f>
        <v>1246</v>
      </c>
      <c r="H33" s="17">
        <f>SUM('[1]Table by district'!H38,'[1]Table by district'!H40,'[1]Table by district'!H42)</f>
        <v>780</v>
      </c>
      <c r="I33" s="17">
        <f>SUM('[1]Table by district'!I38,'[1]Table by district'!I40,'[1]Table by district'!I42)</f>
        <v>1624</v>
      </c>
      <c r="J33" s="17">
        <f>SUM('[1]Table by district'!J38,'[1]Table by district'!J40,'[1]Table by district'!J42)</f>
        <v>1048</v>
      </c>
      <c r="K33" s="17">
        <f>SUM('[1]Table by district'!K38,'[1]Table by district'!K40,'[1]Table by district'!K42)</f>
        <v>621</v>
      </c>
    </row>
    <row r="34" spans="1:11" ht="24" customHeight="1" x14ac:dyDescent="0.25">
      <c r="A34" s="18">
        <v>3</v>
      </c>
      <c r="B34" s="5" t="s">
        <v>35</v>
      </c>
      <c r="C34" s="20"/>
      <c r="D34" s="21">
        <f>SUM('[1]Table by district'!D43,'[1]Table by district'!D45,'[1]Table by district'!D47)</f>
        <v>31372</v>
      </c>
      <c r="E34" s="21">
        <f>SUM('[1]Table by district'!E43,'[1]Table by district'!E45,'[1]Table by district'!E47)</f>
        <v>4739</v>
      </c>
      <c r="F34" s="21">
        <f>SUM('[1]Table by district'!F43,'[1]Table by district'!F45,'[1]Table by district'!F47)</f>
        <v>5695</v>
      </c>
      <c r="G34" s="21">
        <f>SUM('[1]Table by district'!G43,'[1]Table by district'!G45,'[1]Table by district'!G47)</f>
        <v>5099</v>
      </c>
      <c r="H34" s="21">
        <f>SUM('[1]Table by district'!H43,'[1]Table by district'!H45,'[1]Table by district'!H47)</f>
        <v>2985</v>
      </c>
      <c r="I34" s="21">
        <f>SUM('[1]Table by district'!I43,'[1]Table by district'!I45,'[1]Table by district'!I47)</f>
        <v>7837</v>
      </c>
      <c r="J34" s="21">
        <f>SUM('[1]Table by district'!J43,'[1]Table by district'!J45,'[1]Table by district'!J47)</f>
        <v>2290</v>
      </c>
      <c r="K34" s="21">
        <f>SUM('[1]Table by district'!K43,'[1]Table by district'!K45,'[1]Table by district'!K47)</f>
        <v>2727</v>
      </c>
    </row>
    <row r="35" spans="1:11" ht="24" customHeight="1" x14ac:dyDescent="0.25">
      <c r="A35" s="14">
        <v>4</v>
      </c>
      <c r="B35" s="5" t="s">
        <v>36</v>
      </c>
      <c r="C35" s="20"/>
      <c r="D35" s="21">
        <f>SUM('[1]Table by district'!D44,'[1]Table by district'!D46,'[1]Table by district'!D48)</f>
        <v>30037</v>
      </c>
      <c r="E35" s="21">
        <f>SUM('[1]Table by district'!E44,'[1]Table by district'!E46,'[1]Table by district'!E48)</f>
        <v>4739</v>
      </c>
      <c r="F35" s="21">
        <f>SUM('[1]Table by district'!F44,'[1]Table by district'!F46,'[1]Table by district'!F48)</f>
        <v>5385</v>
      </c>
      <c r="G35" s="21">
        <f>SUM('[1]Table by district'!G44,'[1]Table by district'!G46,'[1]Table by district'!G48)</f>
        <v>4993</v>
      </c>
      <c r="H35" s="21">
        <f>SUM('[1]Table by district'!H44,'[1]Table by district'!H46,'[1]Table by district'!H48)</f>
        <v>2858</v>
      </c>
      <c r="I35" s="21">
        <f>SUM('[1]Table by district'!I44,'[1]Table by district'!I46,'[1]Table by district'!I48)</f>
        <v>7178</v>
      </c>
      <c r="J35" s="21">
        <f>SUM('[1]Table by district'!J44,'[1]Table by district'!J46,'[1]Table by district'!J48)</f>
        <v>2271</v>
      </c>
      <c r="K35" s="21">
        <f>SUM('[1]Table by district'!K44,'[1]Table by district'!K46,'[1]Table by district'!K48)</f>
        <v>2613</v>
      </c>
    </row>
    <row r="36" spans="1:11" ht="24" customHeight="1" x14ac:dyDescent="0.25">
      <c r="A36" s="18">
        <v>5</v>
      </c>
      <c r="B36" s="5" t="s">
        <v>37</v>
      </c>
      <c r="C36" s="20"/>
      <c r="D36" s="21">
        <f>SUM('[1]Table by district'!D49,'[1]Table by district'!D51,'[1]Table by district'!D53)</f>
        <v>13461</v>
      </c>
      <c r="E36" s="21">
        <f>SUM('[1]Table by district'!E49,'[1]Table by district'!E51,'[1]Table by district'!E53)</f>
        <v>2344</v>
      </c>
      <c r="F36" s="21">
        <f>SUM('[1]Table by district'!F49,'[1]Table by district'!F51,'[1]Table by district'!F53)</f>
        <v>2211</v>
      </c>
      <c r="G36" s="21">
        <f>SUM('[1]Table by district'!G49,'[1]Table by district'!G51,'[1]Table by district'!G53)</f>
        <v>2461</v>
      </c>
      <c r="H36" s="21">
        <f>SUM('[1]Table by district'!H49,'[1]Table by district'!H51,'[1]Table by district'!H53)</f>
        <v>1119</v>
      </c>
      <c r="I36" s="21">
        <f>SUM('[1]Table by district'!I49,'[1]Table by district'!I51,'[1]Table by district'!I53)</f>
        <v>3184</v>
      </c>
      <c r="J36" s="21">
        <f>SUM('[1]Table by district'!J49,'[1]Table by district'!J51,'[1]Table by district'!J53)</f>
        <v>1199</v>
      </c>
      <c r="K36" s="21">
        <f>SUM('[1]Table by district'!K49,'[1]Table by district'!K51,'[1]Table by district'!K53)</f>
        <v>943</v>
      </c>
    </row>
    <row r="37" spans="1:11" ht="24" customHeight="1" x14ac:dyDescent="0.25">
      <c r="A37" s="18">
        <v>6</v>
      </c>
      <c r="B37" s="5" t="s">
        <v>38</v>
      </c>
      <c r="C37" s="20"/>
      <c r="D37" s="21">
        <f>SUM('[1]Table by district'!D50,'[1]Table by district'!D52,'[1]Table by district'!D54)</f>
        <v>13195</v>
      </c>
      <c r="E37" s="21">
        <f>SUM('[1]Table by district'!E50,'[1]Table by district'!E52,'[1]Table by district'!E54)</f>
        <v>2452</v>
      </c>
      <c r="F37" s="21">
        <f>SUM('[1]Table by district'!F50,'[1]Table by district'!F52,'[1]Table by district'!F54)</f>
        <v>2242</v>
      </c>
      <c r="G37" s="21">
        <f>SUM('[1]Table by district'!G50,'[1]Table by district'!G52,'[1]Table by district'!G54)</f>
        <v>2335</v>
      </c>
      <c r="H37" s="21">
        <f>SUM('[1]Table by district'!H50,'[1]Table by district'!H52,'[1]Table by district'!H54)</f>
        <v>1192</v>
      </c>
      <c r="I37" s="21">
        <f>SUM('[1]Table by district'!I50,'[1]Table by district'!I52,'[1]Table by district'!I54)</f>
        <v>2882</v>
      </c>
      <c r="J37" s="21">
        <f>SUM('[1]Table by district'!J50,'[1]Table by district'!J52,'[1]Table by district'!J54)</f>
        <v>1185</v>
      </c>
      <c r="K37" s="21">
        <f>SUM('[1]Table by district'!K50,'[1]Table by district'!K52,'[1]Table by district'!K54)</f>
        <v>907</v>
      </c>
    </row>
    <row r="38" spans="1:11" ht="24" customHeight="1" x14ac:dyDescent="0.25">
      <c r="A38" s="14">
        <v>7</v>
      </c>
      <c r="B38" s="5" t="s">
        <v>39</v>
      </c>
      <c r="C38" s="20"/>
      <c r="D38" s="21">
        <f>SUM('[1]Table by district'!D55,'[1]Table by district'!D57)</f>
        <v>6404</v>
      </c>
      <c r="E38" s="21">
        <f>SUM('[1]Table by district'!E55,'[1]Table by district'!E57)</f>
        <v>1318</v>
      </c>
      <c r="F38" s="21">
        <f>SUM('[1]Table by district'!F55,'[1]Table by district'!F57)</f>
        <v>920</v>
      </c>
      <c r="G38" s="21">
        <f>SUM('[1]Table by district'!G55,'[1]Table by district'!G57)</f>
        <v>1025</v>
      </c>
      <c r="H38" s="21">
        <f>SUM('[1]Table by district'!H55,'[1]Table by district'!H57)</f>
        <v>457</v>
      </c>
      <c r="I38" s="21">
        <f>SUM('[1]Table by district'!I55,'[1]Table by district'!I57)</f>
        <v>1144</v>
      </c>
      <c r="J38" s="21">
        <f>SUM('[1]Table by district'!J55,'[1]Table by district'!J57)</f>
        <v>1284</v>
      </c>
      <c r="K38" s="21">
        <f>SUM('[1]Table by district'!K55,'[1]Table by district'!K57)</f>
        <v>256</v>
      </c>
    </row>
    <row r="39" spans="1:11" ht="24" customHeight="1" x14ac:dyDescent="0.25">
      <c r="A39" s="18">
        <v>8</v>
      </c>
      <c r="B39" s="5" t="s">
        <v>40</v>
      </c>
      <c r="C39" s="20"/>
      <c r="D39" s="21">
        <f>SUM('[1]Table by district'!D56,'[1]Table by district'!D58)</f>
        <v>7179</v>
      </c>
      <c r="E39" s="21">
        <f>SUM('[1]Table by district'!E56,'[1]Table by district'!E58)</f>
        <v>1356</v>
      </c>
      <c r="F39" s="21">
        <f>SUM('[1]Table by district'!F56,'[1]Table by district'!F58)</f>
        <v>999</v>
      </c>
      <c r="G39" s="21">
        <f>SUM('[1]Table by district'!G56,'[1]Table by district'!G58)</f>
        <v>1151</v>
      </c>
      <c r="H39" s="21">
        <f>SUM('[1]Table by district'!H56,'[1]Table by district'!H58)</f>
        <v>482</v>
      </c>
      <c r="I39" s="21">
        <f>SUM('[1]Table by district'!I56,'[1]Table by district'!I58)</f>
        <v>1320</v>
      </c>
      <c r="J39" s="21">
        <f>SUM('[1]Table by district'!J56,'[1]Table by district'!J58)</f>
        <v>1452</v>
      </c>
      <c r="K39" s="21">
        <f>SUM('[1]Table by district'!K56,'[1]Table by district'!K58)</f>
        <v>419</v>
      </c>
    </row>
    <row r="40" spans="1:11" ht="24" customHeight="1" x14ac:dyDescent="0.25">
      <c r="A40" s="18">
        <v>9</v>
      </c>
      <c r="B40" s="5" t="s">
        <v>41</v>
      </c>
      <c r="C40" s="20"/>
      <c r="D40" s="21">
        <f>SUM('[1]Table by district'!D59,'[1]Table by district'!D63)</f>
        <v>2548</v>
      </c>
      <c r="E40" s="21">
        <f>SUM('[1]Table by district'!E59,'[1]Table by district'!E63)</f>
        <v>516</v>
      </c>
      <c r="F40" s="21">
        <f>SUM('[1]Table by district'!F59,'[1]Table by district'!F63)</f>
        <v>379</v>
      </c>
      <c r="G40" s="21">
        <f>SUM('[1]Table by district'!G59,'[1]Table by district'!G63)</f>
        <v>417</v>
      </c>
      <c r="H40" s="21">
        <f>SUM('[1]Table by district'!H59,'[1]Table by district'!H63)</f>
        <v>223</v>
      </c>
      <c r="I40" s="21">
        <f>SUM('[1]Table by district'!I59,'[1]Table by district'!I63)</f>
        <v>289</v>
      </c>
      <c r="J40" s="21">
        <f>SUM('[1]Table by district'!J59,'[1]Table by district'!J63)</f>
        <v>676</v>
      </c>
      <c r="K40" s="21">
        <f>SUM('[1]Table by district'!K59,'[1]Table by district'!K63)</f>
        <v>48</v>
      </c>
    </row>
    <row r="41" spans="1:11" ht="24" customHeight="1" x14ac:dyDescent="0.25">
      <c r="A41" s="14">
        <v>10</v>
      </c>
      <c r="B41" s="5" t="s">
        <v>42</v>
      </c>
      <c r="C41" s="20"/>
      <c r="D41" s="21">
        <f>SUM('[1]Table by district'!D60,'[1]Table by district'!D64)</f>
        <v>2467</v>
      </c>
      <c r="E41" s="21">
        <f>SUM('[1]Table by district'!E60,'[1]Table by district'!E64)</f>
        <v>544</v>
      </c>
      <c r="F41" s="21">
        <f>SUM('[1]Table by district'!F60,'[1]Table by district'!F64)</f>
        <v>348</v>
      </c>
      <c r="G41" s="21">
        <f>SUM('[1]Table by district'!G60,'[1]Table by district'!G64)</f>
        <v>410</v>
      </c>
      <c r="H41" s="21">
        <f>SUM('[1]Table by district'!H60,'[1]Table by district'!H64)</f>
        <v>204</v>
      </c>
      <c r="I41" s="21">
        <f>SUM('[1]Table by district'!I60,'[1]Table by district'!I64)</f>
        <v>307</v>
      </c>
      <c r="J41" s="21">
        <f>SUM('[1]Table by district'!J60,'[1]Table by district'!J64)</f>
        <v>589</v>
      </c>
      <c r="K41" s="21">
        <f>SUM('[1]Table by district'!K60,'[1]Table by district'!K64)</f>
        <v>65</v>
      </c>
    </row>
    <row r="42" spans="1:11" ht="24" customHeight="1" x14ac:dyDescent="0.25">
      <c r="A42" s="18">
        <v>11</v>
      </c>
      <c r="B42" s="5" t="s">
        <v>43</v>
      </c>
      <c r="C42" s="20"/>
      <c r="D42" s="21">
        <f>SUM('[1]Table by district'!D61,'[1]Table by district'!D65)</f>
        <v>1326</v>
      </c>
      <c r="E42" s="21">
        <f>SUM('[1]Table by district'!E61,'[1]Table by district'!E65)</f>
        <v>320</v>
      </c>
      <c r="F42" s="21">
        <f>SUM('[1]Table by district'!F61,'[1]Table by district'!F65)</f>
        <v>85</v>
      </c>
      <c r="G42" s="21">
        <f>SUM('[1]Table by district'!G61,'[1]Table by district'!G65)</f>
        <v>273</v>
      </c>
      <c r="H42" s="21">
        <f>SUM('[1]Table by district'!H61,'[1]Table by district'!H65)</f>
        <v>193</v>
      </c>
      <c r="I42" s="21">
        <f>SUM('[1]Table by district'!I61,'[1]Table by district'!I65)</f>
        <v>68</v>
      </c>
      <c r="J42" s="21">
        <f>SUM('[1]Table by district'!J61,'[1]Table by district'!J65)</f>
        <v>384</v>
      </c>
      <c r="K42" s="21">
        <f>SUM('[1]Table by district'!K61,'[1]Table by district'!K65)</f>
        <v>3</v>
      </c>
    </row>
    <row r="43" spans="1:11" ht="24" customHeight="1" x14ac:dyDescent="0.25">
      <c r="A43" s="18">
        <v>12</v>
      </c>
      <c r="B43" s="5" t="s">
        <v>44</v>
      </c>
      <c r="C43" s="20"/>
      <c r="D43" s="21">
        <f>SUM('[1]Table by district'!D62,'[1]Table by district'!D66)</f>
        <v>1641</v>
      </c>
      <c r="E43" s="21">
        <f>SUM('[1]Table by district'!E62,'[1]Table by district'!E66)</f>
        <v>290</v>
      </c>
      <c r="F43" s="21">
        <f>SUM('[1]Table by district'!F62,'[1]Table by district'!F66)</f>
        <v>137</v>
      </c>
      <c r="G43" s="21">
        <f>SUM('[1]Table by district'!G62,'[1]Table by district'!G66)</f>
        <v>335</v>
      </c>
      <c r="H43" s="21">
        <f>SUM('[1]Table by district'!H62,'[1]Table by district'!H66)</f>
        <v>216</v>
      </c>
      <c r="I43" s="21">
        <f>SUM('[1]Table by district'!I62,'[1]Table by district'!I66)</f>
        <v>91</v>
      </c>
      <c r="J43" s="21">
        <f>SUM('[1]Table by district'!J62,'[1]Table by district'!J66)</f>
        <v>569</v>
      </c>
      <c r="K43" s="21">
        <f>SUM('[1]Table by district'!K62,'[1]Table by district'!K66)</f>
        <v>3</v>
      </c>
    </row>
    <row r="44" spans="1:11" ht="24" customHeight="1" x14ac:dyDescent="0.25">
      <c r="B44" s="37" t="str">
        <f>'[1]Table by district'!A67</f>
        <v>៤. អ្នកមិនចេះអក្សរតាមក្រុមអាយុ</v>
      </c>
      <c r="C44" s="38"/>
      <c r="D44" s="39">
        <f>SUM(D45:D52)</f>
        <v>12954</v>
      </c>
      <c r="E44" s="39">
        <f t="shared" ref="E44:K44" si="15">SUM(E45:E52)</f>
        <v>1534</v>
      </c>
      <c r="F44" s="39">
        <f t="shared" si="15"/>
        <v>2418</v>
      </c>
      <c r="G44" s="39">
        <f t="shared" si="15"/>
        <v>1012</v>
      </c>
      <c r="H44" s="39">
        <f t="shared" si="15"/>
        <v>1159</v>
      </c>
      <c r="I44" s="39">
        <f t="shared" si="15"/>
        <v>2878</v>
      </c>
      <c r="J44" s="39">
        <f t="shared" si="15"/>
        <v>166</v>
      </c>
      <c r="K44" s="39">
        <f t="shared" si="15"/>
        <v>3787</v>
      </c>
    </row>
    <row r="45" spans="1:11" ht="24" customHeight="1" x14ac:dyDescent="0.25">
      <c r="A45" s="14">
        <v>1</v>
      </c>
      <c r="B45" s="15" t="str">
        <f>'[1]Table by district'!B68</f>
        <v>បុរសមិនចេះអក្សរពី១៥ទៅ១៧ឆ្នាំ</v>
      </c>
      <c r="C45" s="16"/>
      <c r="D45" s="17">
        <f>'[1]Table by district'!D68</f>
        <v>472</v>
      </c>
      <c r="E45" s="17">
        <f>'[1]Table by district'!E68</f>
        <v>64</v>
      </c>
      <c r="F45" s="17">
        <f>'[1]Table by district'!F68</f>
        <v>126</v>
      </c>
      <c r="G45" s="17">
        <f>'[1]Table by district'!G68</f>
        <v>48</v>
      </c>
      <c r="H45" s="17">
        <f>'[1]Table by district'!H68</f>
        <v>39</v>
      </c>
      <c r="I45" s="17">
        <f>'[1]Table by district'!I68</f>
        <v>81</v>
      </c>
      <c r="J45" s="17">
        <f>'[1]Table by district'!J68</f>
        <v>3</v>
      </c>
      <c r="K45" s="17">
        <f>'[1]Table by district'!K68</f>
        <v>111</v>
      </c>
    </row>
    <row r="46" spans="1:11" ht="24" customHeight="1" x14ac:dyDescent="0.25">
      <c r="A46" s="18">
        <v>2</v>
      </c>
      <c r="B46" s="19" t="str">
        <f>'[1]Table by district'!B69</f>
        <v>ស្ដ្រីមិនចេះអក្សរពី១៥ទៅ១៧ឆ្នាំ</v>
      </c>
      <c r="C46" s="20"/>
      <c r="D46" s="21">
        <f>'[1]Table by district'!D69</f>
        <v>406</v>
      </c>
      <c r="E46" s="21">
        <f>'[1]Table by district'!E69</f>
        <v>49</v>
      </c>
      <c r="F46" s="21">
        <f>'[1]Table by district'!F69</f>
        <v>89</v>
      </c>
      <c r="G46" s="21">
        <f>'[1]Table by district'!G69</f>
        <v>34</v>
      </c>
      <c r="H46" s="21">
        <f>'[1]Table by district'!H69</f>
        <v>43</v>
      </c>
      <c r="I46" s="21">
        <f>'[1]Table by district'!I69</f>
        <v>76</v>
      </c>
      <c r="J46" s="21">
        <f>'[1]Table by district'!J69</f>
        <v>4</v>
      </c>
      <c r="K46" s="21">
        <f>'[1]Table by district'!K69</f>
        <v>111</v>
      </c>
    </row>
    <row r="47" spans="1:11" ht="24" customHeight="1" x14ac:dyDescent="0.25">
      <c r="A47" s="18">
        <v>3</v>
      </c>
      <c r="B47" s="19" t="str">
        <f>'[1]Table by district'!B70</f>
        <v>ចំនួនអ្នកមិនចេះអក្សរប្រុសអាយុពី ១៨-២៤ ឆ្នាំ</v>
      </c>
      <c r="C47" s="20"/>
      <c r="D47" s="21">
        <f>'[1]Table by district'!D70</f>
        <v>1311</v>
      </c>
      <c r="E47" s="21">
        <f>'[1]Table by district'!E70</f>
        <v>142</v>
      </c>
      <c r="F47" s="21">
        <f>'[1]Table by district'!F70</f>
        <v>238</v>
      </c>
      <c r="G47" s="21">
        <f>'[1]Table by district'!G70</f>
        <v>93</v>
      </c>
      <c r="H47" s="21">
        <f>'[1]Table by district'!H70</f>
        <v>61</v>
      </c>
      <c r="I47" s="21">
        <f>'[1]Table by district'!I70</f>
        <v>327</v>
      </c>
      <c r="J47" s="21">
        <f>'[1]Table by district'!J70</f>
        <v>13</v>
      </c>
      <c r="K47" s="21">
        <f>'[1]Table by district'!K70</f>
        <v>437</v>
      </c>
    </row>
    <row r="48" spans="1:11" ht="24" customHeight="1" x14ac:dyDescent="0.25">
      <c r="A48" s="14">
        <v>4</v>
      </c>
      <c r="B48" s="19" t="str">
        <f>'[1]Table by district'!B71</f>
        <v>ចំនួនអ្នកមិនចេះអក្សរស្រីអាយុពី ១៨-២៤ ឆ្នាំ</v>
      </c>
      <c r="C48" s="20"/>
      <c r="D48" s="21">
        <f>'[1]Table by district'!D71</f>
        <v>1177</v>
      </c>
      <c r="E48" s="21">
        <f>'[1]Table by district'!E71</f>
        <v>121</v>
      </c>
      <c r="F48" s="21">
        <f>'[1]Table by district'!F71</f>
        <v>164</v>
      </c>
      <c r="G48" s="21">
        <f>'[1]Table by district'!G71</f>
        <v>68</v>
      </c>
      <c r="H48" s="21">
        <f>'[1]Table by district'!H71</f>
        <v>143</v>
      </c>
      <c r="I48" s="21">
        <f>'[1]Table by district'!I71</f>
        <v>261</v>
      </c>
      <c r="J48" s="21">
        <f>'[1]Table by district'!J71</f>
        <v>23</v>
      </c>
      <c r="K48" s="21">
        <f>'[1]Table by district'!K71</f>
        <v>397</v>
      </c>
    </row>
    <row r="49" spans="1:11" ht="24" customHeight="1" x14ac:dyDescent="0.25">
      <c r="A49" s="18">
        <v>5</v>
      </c>
      <c r="B49" s="19" t="str">
        <f>'[1]Table by district'!B72</f>
        <v>ចំនួនអ្នកមិនចេះអក្សរប្រុសអាយុពី ២៥-៣៥ ឆ្នាំ</v>
      </c>
      <c r="C49" s="20"/>
      <c r="D49" s="21">
        <f>'[1]Table by district'!D72</f>
        <v>2222</v>
      </c>
      <c r="E49" s="21">
        <f>'[1]Table by district'!E72</f>
        <v>283</v>
      </c>
      <c r="F49" s="21">
        <f>'[1]Table by district'!F72</f>
        <v>369</v>
      </c>
      <c r="G49" s="21">
        <f>'[1]Table by district'!G72</f>
        <v>168</v>
      </c>
      <c r="H49" s="21">
        <f>'[1]Table by district'!H72</f>
        <v>226</v>
      </c>
      <c r="I49" s="21">
        <f>'[1]Table by district'!I72</f>
        <v>453</v>
      </c>
      <c r="J49" s="21">
        <f>'[1]Table by district'!J72</f>
        <v>18</v>
      </c>
      <c r="K49" s="21">
        <f>'[1]Table by district'!K72</f>
        <v>705</v>
      </c>
    </row>
    <row r="50" spans="1:11" ht="24" customHeight="1" x14ac:dyDescent="0.25">
      <c r="A50" s="18">
        <v>6</v>
      </c>
      <c r="B50" s="19" t="str">
        <f>'[1]Table by district'!B73</f>
        <v>ចំនួនអ្នកមិនចេះអក្សរស្រីអាយុពី ២៥-៣៥ ឆ្នាំ</v>
      </c>
      <c r="C50" s="20"/>
      <c r="D50" s="21">
        <f>'[1]Table by district'!D73</f>
        <v>1922</v>
      </c>
      <c r="E50" s="21">
        <f>'[1]Table by district'!E73</f>
        <v>171</v>
      </c>
      <c r="F50" s="21">
        <f>'[1]Table by district'!F73</f>
        <v>308</v>
      </c>
      <c r="G50" s="21">
        <f>'[1]Table by district'!G73</f>
        <v>129</v>
      </c>
      <c r="H50" s="21">
        <f>'[1]Table by district'!H73</f>
        <v>181</v>
      </c>
      <c r="I50" s="21">
        <f>'[1]Table by district'!I73</f>
        <v>491</v>
      </c>
      <c r="J50" s="21">
        <f>'[1]Table by district'!J73</f>
        <v>38</v>
      </c>
      <c r="K50" s="21">
        <f>'[1]Table by district'!K73</f>
        <v>604</v>
      </c>
    </row>
    <row r="51" spans="1:11" ht="24" customHeight="1" x14ac:dyDescent="0.25">
      <c r="A51" s="14">
        <v>7</v>
      </c>
      <c r="B51" s="19" t="str">
        <f>'[1]Table by district'!B74</f>
        <v>ចំនួនអ្នកមិនចេះអក្សរប្រុសអាយុពី ៣៦-៤៥ ឆ្នាំ</v>
      </c>
      <c r="C51" s="20"/>
      <c r="D51" s="21">
        <f>'[1]Table by district'!D74</f>
        <v>2649</v>
      </c>
      <c r="E51" s="21">
        <f>'[1]Table by district'!E74</f>
        <v>326</v>
      </c>
      <c r="F51" s="21">
        <f>'[1]Table by district'!F74</f>
        <v>516</v>
      </c>
      <c r="G51" s="21">
        <f>'[1]Table by district'!G74</f>
        <v>254</v>
      </c>
      <c r="H51" s="21">
        <f>'[1]Table by district'!H74</f>
        <v>223</v>
      </c>
      <c r="I51" s="21">
        <f>'[1]Table by district'!I74</f>
        <v>691</v>
      </c>
      <c r="J51" s="21">
        <f>'[1]Table by district'!J74</f>
        <v>35</v>
      </c>
      <c r="K51" s="21">
        <f>'[1]Table by district'!K74</f>
        <v>604</v>
      </c>
    </row>
    <row r="52" spans="1:11" ht="24" customHeight="1" x14ac:dyDescent="0.25">
      <c r="A52" s="18">
        <v>8</v>
      </c>
      <c r="B52" s="23" t="str">
        <f>'[1]Table by district'!B75</f>
        <v>ចំនួនអ្នកមិនចេះអក្សរស្រីអាយុពី ៣៦-៤៥ ឆ្នាំ</v>
      </c>
      <c r="C52" s="24"/>
      <c r="D52" s="25">
        <f>'[1]Table by district'!D75</f>
        <v>2795</v>
      </c>
      <c r="E52" s="25">
        <f>'[1]Table by district'!E75</f>
        <v>378</v>
      </c>
      <c r="F52" s="25">
        <f>'[1]Table by district'!F75</f>
        <v>608</v>
      </c>
      <c r="G52" s="25">
        <f>'[1]Table by district'!G75</f>
        <v>218</v>
      </c>
      <c r="H52" s="25">
        <f>'[1]Table by district'!H75</f>
        <v>243</v>
      </c>
      <c r="I52" s="25">
        <f>'[1]Table by district'!I75</f>
        <v>498</v>
      </c>
      <c r="J52" s="25">
        <f>'[1]Table by district'!J75</f>
        <v>32</v>
      </c>
      <c r="K52" s="25">
        <f>'[1]Table by district'!K75</f>
        <v>818</v>
      </c>
    </row>
    <row r="53" spans="1:11" ht="24" customHeight="1" x14ac:dyDescent="0.25">
      <c r="B53" s="37" t="str">
        <f>'[1]Table by district'!A76</f>
        <v>៥. ចំងាយផ្លូវពីភូមិទៅសាលា</v>
      </c>
      <c r="C53" s="38"/>
      <c r="D53" s="39">
        <f>SUM(D54:D56)</f>
        <v>27.720000000000002</v>
      </c>
      <c r="E53" s="39">
        <f t="shared" ref="E53:K53" si="16">SUM(E54:E56)</f>
        <v>24.43</v>
      </c>
      <c r="F53" s="39">
        <f t="shared" si="16"/>
        <v>18.04</v>
      </c>
      <c r="G53" s="39">
        <f t="shared" si="16"/>
        <v>21.79</v>
      </c>
      <c r="H53" s="39">
        <f t="shared" si="16"/>
        <v>22.12</v>
      </c>
      <c r="I53" s="39">
        <f t="shared" si="16"/>
        <v>29.64</v>
      </c>
      <c r="J53" s="39">
        <f t="shared" si="16"/>
        <v>3.37</v>
      </c>
      <c r="K53" s="39">
        <f t="shared" si="16"/>
        <v>74.649999999999991</v>
      </c>
    </row>
    <row r="54" spans="1:11" ht="24" customHeight="1" x14ac:dyDescent="0.25">
      <c r="A54" s="14">
        <v>1</v>
      </c>
      <c r="B54" s="15" t="str">
        <f>'[1]Table by district'!B77</f>
        <v>ចំងាយមធ្យមពីចំនុចកណ្ដាលភូមិទៅសាលាបឋមសិក្សា</v>
      </c>
      <c r="C54" s="16"/>
      <c r="D54" s="17">
        <f>'[1]Table by district'!D77</f>
        <v>1.1299999999999999</v>
      </c>
      <c r="E54" s="17">
        <f>'[1]Table by district'!E77</f>
        <v>0.7</v>
      </c>
      <c r="F54" s="17">
        <f>'[1]Table by district'!F77</f>
        <v>0.97</v>
      </c>
      <c r="G54" s="17">
        <f>'[1]Table by district'!G77</f>
        <v>1.24</v>
      </c>
      <c r="H54" s="17">
        <f>'[1]Table by district'!H77</f>
        <v>1.75</v>
      </c>
      <c r="I54" s="17">
        <f>'[1]Table by district'!I77</f>
        <v>1.58</v>
      </c>
      <c r="J54" s="17">
        <f>'[1]Table by district'!J77</f>
        <v>0.46</v>
      </c>
      <c r="K54" s="17">
        <f>'[1]Table by district'!K77</f>
        <v>1.2</v>
      </c>
    </row>
    <row r="55" spans="1:11" ht="24" customHeight="1" x14ac:dyDescent="0.25">
      <c r="A55" s="18">
        <v>2</v>
      </c>
      <c r="B55" s="19" t="str">
        <f>'[1]Table by district'!B78</f>
        <v>ចំងាយមធ្យមពីចំនុចកណ្ដាលភូមិទៅសាលាអនុវិទ្យាល័យ</v>
      </c>
      <c r="C55" s="20"/>
      <c r="D55" s="21">
        <f>'[1]Table by district'!D78</f>
        <v>7.24</v>
      </c>
      <c r="E55" s="21">
        <f>'[1]Table by district'!E78</f>
        <v>4.96</v>
      </c>
      <c r="F55" s="21">
        <f>'[1]Table by district'!F78</f>
        <v>4.91</v>
      </c>
      <c r="G55" s="21">
        <f>'[1]Table by district'!G78</f>
        <v>8.3800000000000008</v>
      </c>
      <c r="H55" s="21">
        <f>'[1]Table by district'!H78</f>
        <v>8.24</v>
      </c>
      <c r="I55" s="21">
        <f>'[1]Table by district'!I78</f>
        <v>10.57</v>
      </c>
      <c r="J55" s="21">
        <f>'[1]Table by district'!J78</f>
        <v>0.98</v>
      </c>
      <c r="K55" s="21">
        <f>'[1]Table by district'!K78</f>
        <v>12.65</v>
      </c>
    </row>
    <row r="56" spans="1:11" ht="24" customHeight="1" x14ac:dyDescent="0.25">
      <c r="A56" s="18">
        <v>3</v>
      </c>
      <c r="B56" s="23" t="str">
        <f>'[1]Table by district'!B79</f>
        <v>ចំងាយមធ្យមពីចំនុចកណ្ដាលភូមិទៅសាលាវិទ្យាល័យ</v>
      </c>
      <c r="C56" s="24"/>
      <c r="D56" s="25">
        <f>'[1]Table by district'!D79</f>
        <v>19.350000000000001</v>
      </c>
      <c r="E56" s="25">
        <f>'[1]Table by district'!E79</f>
        <v>18.77</v>
      </c>
      <c r="F56" s="25">
        <f>'[1]Table by district'!F79</f>
        <v>12.16</v>
      </c>
      <c r="G56" s="25">
        <f>'[1]Table by district'!G79</f>
        <v>12.17</v>
      </c>
      <c r="H56" s="25">
        <f>'[1]Table by district'!H79</f>
        <v>12.13</v>
      </c>
      <c r="I56" s="25">
        <f>'[1]Table by district'!I79</f>
        <v>17.489999999999998</v>
      </c>
      <c r="J56" s="25">
        <f>'[1]Table by district'!J79</f>
        <v>1.93</v>
      </c>
      <c r="K56" s="25">
        <f>'[1]Table by district'!K79</f>
        <v>60.8</v>
      </c>
    </row>
    <row r="57" spans="1:11" ht="24" customHeight="1" x14ac:dyDescent="0.25">
      <c r="B57" s="37" t="str">
        <f>'[1]Table by district'!A80</f>
        <v>៦. ស្ថិតិមុខរបរជាចំបង</v>
      </c>
      <c r="C57" s="38"/>
      <c r="D57" s="39">
        <f>SUM(D58:D65)</f>
        <v>212282</v>
      </c>
      <c r="E57" s="39">
        <f t="shared" ref="E57:K57" si="17">SUM(E58:E65)</f>
        <v>31766</v>
      </c>
      <c r="F57" s="39">
        <f t="shared" si="17"/>
        <v>39933</v>
      </c>
      <c r="G57" s="39">
        <f t="shared" si="17"/>
        <v>35806</v>
      </c>
      <c r="H57" s="39">
        <f t="shared" si="17"/>
        <v>20928</v>
      </c>
      <c r="I57" s="39">
        <f t="shared" si="17"/>
        <v>48586</v>
      </c>
      <c r="J57" s="39">
        <f t="shared" si="17"/>
        <v>14274</v>
      </c>
      <c r="K57" s="39">
        <f t="shared" si="17"/>
        <v>20989</v>
      </c>
    </row>
    <row r="58" spans="1:11" ht="24" customHeight="1" x14ac:dyDescent="0.25">
      <c r="A58" s="14">
        <v>1</v>
      </c>
      <c r="B58" s="5" t="s">
        <v>45</v>
      </c>
      <c r="C58" s="20"/>
      <c r="D58" s="21">
        <f>'[1]Table by district'!D89</f>
        <v>80467</v>
      </c>
      <c r="E58" s="21">
        <f>'[1]Table by district'!E89</f>
        <v>11537</v>
      </c>
      <c r="F58" s="21">
        <f>'[1]Table by district'!F89</f>
        <v>16921</v>
      </c>
      <c r="G58" s="21">
        <f>'[1]Table by district'!G89</f>
        <v>14524</v>
      </c>
      <c r="H58" s="21">
        <f>'[1]Table by district'!H89</f>
        <v>7522</v>
      </c>
      <c r="I58" s="21">
        <f>'[1]Table by district'!I89</f>
        <v>18830</v>
      </c>
      <c r="J58" s="21">
        <f>'[1]Table by district'!J89</f>
        <v>2435</v>
      </c>
      <c r="K58" s="21">
        <f>'[1]Table by district'!K89</f>
        <v>8698</v>
      </c>
    </row>
    <row r="59" spans="1:11" ht="24" customHeight="1" x14ac:dyDescent="0.25">
      <c r="A59" s="18">
        <v>2</v>
      </c>
      <c r="B59" s="5" t="s">
        <v>46</v>
      </c>
      <c r="C59" s="20"/>
      <c r="D59" s="21">
        <f>'[1]Table by district'!D90</f>
        <v>72308</v>
      </c>
      <c r="E59" s="21">
        <f>'[1]Table by district'!E90</f>
        <v>10994</v>
      </c>
      <c r="F59" s="21">
        <f>'[1]Table by district'!F90</f>
        <v>14724</v>
      </c>
      <c r="G59" s="21">
        <f>'[1]Table by district'!G90</f>
        <v>12115</v>
      </c>
      <c r="H59" s="21">
        <f>'[1]Table by district'!H90</f>
        <v>6859</v>
      </c>
      <c r="I59" s="21">
        <f>'[1]Table by district'!I90</f>
        <v>17721</v>
      </c>
      <c r="J59" s="21">
        <f>'[1]Table by district'!J90</f>
        <v>1849</v>
      </c>
      <c r="K59" s="21">
        <f>'[1]Table by district'!K90</f>
        <v>8046</v>
      </c>
    </row>
    <row r="60" spans="1:11" ht="24" customHeight="1" x14ac:dyDescent="0.25">
      <c r="A60" s="18">
        <v>3</v>
      </c>
      <c r="B60" s="5" t="s">
        <v>47</v>
      </c>
      <c r="C60" s="20"/>
      <c r="D60" s="21">
        <f>'[1]Table by district'!D97</f>
        <v>4977</v>
      </c>
      <c r="E60" s="21">
        <f>'[1]Table by district'!E97</f>
        <v>684</v>
      </c>
      <c r="F60" s="21">
        <f>'[1]Table by district'!F97</f>
        <v>536</v>
      </c>
      <c r="G60" s="21">
        <f>'[1]Table by district'!G97</f>
        <v>989</v>
      </c>
      <c r="H60" s="21">
        <f>'[1]Table by district'!H97</f>
        <v>912</v>
      </c>
      <c r="I60" s="21">
        <f>'[1]Table by district'!I97</f>
        <v>320</v>
      </c>
      <c r="J60" s="21">
        <f>'[1]Table by district'!J97</f>
        <v>450</v>
      </c>
      <c r="K60" s="21">
        <f>'[1]Table by district'!K97</f>
        <v>1086</v>
      </c>
    </row>
    <row r="61" spans="1:11" ht="24" customHeight="1" x14ac:dyDescent="0.25">
      <c r="A61" s="14">
        <v>4</v>
      </c>
      <c r="B61" s="5" t="s">
        <v>48</v>
      </c>
      <c r="C61" s="20"/>
      <c r="D61" s="21">
        <f>'[1]Table by district'!D98</f>
        <v>3187</v>
      </c>
      <c r="E61" s="21">
        <f>'[1]Table by district'!E98</f>
        <v>572</v>
      </c>
      <c r="F61" s="21">
        <f>'[1]Table by district'!F98</f>
        <v>495</v>
      </c>
      <c r="G61" s="21">
        <f>'[1]Table by district'!G98</f>
        <v>589</v>
      </c>
      <c r="H61" s="21">
        <f>'[1]Table by district'!H98</f>
        <v>548</v>
      </c>
      <c r="I61" s="21">
        <f>'[1]Table by district'!I98</f>
        <v>225</v>
      </c>
      <c r="J61" s="21">
        <f>'[1]Table by district'!J98</f>
        <v>312</v>
      </c>
      <c r="K61" s="21">
        <f>'[1]Table by district'!K98</f>
        <v>446</v>
      </c>
    </row>
    <row r="62" spans="1:11" ht="24" customHeight="1" x14ac:dyDescent="0.25">
      <c r="A62" s="18">
        <v>5</v>
      </c>
      <c r="B62" s="5" t="s">
        <v>49</v>
      </c>
      <c r="C62" s="20"/>
      <c r="D62" s="21">
        <f>'[1]Table by district'!D115</f>
        <v>399</v>
      </c>
      <c r="E62" s="21">
        <f>'[1]Table by district'!E115</f>
        <v>64</v>
      </c>
      <c r="F62" s="21">
        <f>'[1]Table by district'!F115</f>
        <v>57</v>
      </c>
      <c r="G62" s="21">
        <f>'[1]Table by district'!G115</f>
        <v>50</v>
      </c>
      <c r="H62" s="21">
        <f>'[1]Table by district'!H115</f>
        <v>45</v>
      </c>
      <c r="I62" s="21">
        <f>'[1]Table by district'!I115</f>
        <v>21</v>
      </c>
      <c r="J62" s="21">
        <f>'[1]Table by district'!J115</f>
        <v>147</v>
      </c>
      <c r="K62" s="21">
        <f>'[1]Table by district'!K115</f>
        <v>15</v>
      </c>
    </row>
    <row r="63" spans="1:11" ht="24" customHeight="1" x14ac:dyDescent="0.25">
      <c r="A63" s="18">
        <v>6</v>
      </c>
      <c r="B63" s="5" t="s">
        <v>50</v>
      </c>
      <c r="C63" s="20"/>
      <c r="D63" s="21">
        <f>'[1]Table by district'!D116</f>
        <v>161</v>
      </c>
      <c r="E63" s="21">
        <f>'[1]Table by district'!E116</f>
        <v>16</v>
      </c>
      <c r="F63" s="21">
        <f>'[1]Table by district'!F116</f>
        <v>32</v>
      </c>
      <c r="G63" s="21">
        <f>'[1]Table by district'!G116</f>
        <v>21</v>
      </c>
      <c r="H63" s="21">
        <f>'[1]Table by district'!H116</f>
        <v>20</v>
      </c>
      <c r="I63" s="21">
        <f>'[1]Table by district'!I116</f>
        <v>10</v>
      </c>
      <c r="J63" s="21">
        <f>'[1]Table by district'!J116</f>
        <v>57</v>
      </c>
      <c r="K63" s="21">
        <f>'[1]Table by district'!K116</f>
        <v>5</v>
      </c>
    </row>
    <row r="64" spans="1:11" ht="24" customHeight="1" x14ac:dyDescent="0.25">
      <c r="A64" s="14">
        <v>7</v>
      </c>
      <c r="B64" s="5" t="s">
        <v>51</v>
      </c>
      <c r="C64" s="20"/>
      <c r="D64" s="21">
        <f>'[1]Table by district'!D129</f>
        <v>29061</v>
      </c>
      <c r="E64" s="21">
        <f>'[1]Table by district'!E129</f>
        <v>4238</v>
      </c>
      <c r="F64" s="21">
        <f>'[1]Table by district'!F129</f>
        <v>4163</v>
      </c>
      <c r="G64" s="21">
        <f>'[1]Table by district'!G129</f>
        <v>4092</v>
      </c>
      <c r="H64" s="21">
        <f>'[1]Table by district'!H129</f>
        <v>2807</v>
      </c>
      <c r="I64" s="21">
        <f>'[1]Table by district'!I129</f>
        <v>6700</v>
      </c>
      <c r="J64" s="21">
        <f>'[1]Table by district'!J129</f>
        <v>5547</v>
      </c>
      <c r="K64" s="21">
        <f>'[1]Table by district'!K129</f>
        <v>1514</v>
      </c>
    </row>
    <row r="65" spans="1:11" ht="24" customHeight="1" x14ac:dyDescent="0.25">
      <c r="A65" s="18">
        <v>8</v>
      </c>
      <c r="B65" s="5" t="s">
        <v>52</v>
      </c>
      <c r="C65" s="24"/>
      <c r="D65" s="25">
        <f>'[1]Table by district'!D130</f>
        <v>21722</v>
      </c>
      <c r="E65" s="25">
        <f>'[1]Table by district'!E130</f>
        <v>3661</v>
      </c>
      <c r="F65" s="25">
        <f>'[1]Table by district'!F130</f>
        <v>3005</v>
      </c>
      <c r="G65" s="25">
        <f>'[1]Table by district'!G130</f>
        <v>3426</v>
      </c>
      <c r="H65" s="25">
        <f>'[1]Table by district'!H130</f>
        <v>2215</v>
      </c>
      <c r="I65" s="25">
        <f>'[1]Table by district'!I130</f>
        <v>4759</v>
      </c>
      <c r="J65" s="25">
        <f>'[1]Table by district'!J130</f>
        <v>3477</v>
      </c>
      <c r="K65" s="25">
        <f>'[1]Table by district'!K130</f>
        <v>1179</v>
      </c>
    </row>
    <row r="66" spans="1:11" ht="24" customHeight="1" x14ac:dyDescent="0.25">
      <c r="B66" s="37" t="str">
        <f>'[1]Table by district'!A131</f>
        <v>៧. ស្ថិតិមុខរបរបន្ទាប់បន្សំ</v>
      </c>
      <c r="C66" s="38"/>
      <c r="D66" s="39">
        <f>SUM(D67:D74)</f>
        <v>79835</v>
      </c>
      <c r="E66" s="39">
        <f t="shared" ref="E66:K66" si="18">SUM(E67:E74)</f>
        <v>15936</v>
      </c>
      <c r="F66" s="39">
        <f t="shared" si="18"/>
        <v>12712</v>
      </c>
      <c r="G66" s="39">
        <f t="shared" si="18"/>
        <v>15043</v>
      </c>
      <c r="H66" s="39">
        <f t="shared" si="18"/>
        <v>9727</v>
      </c>
      <c r="I66" s="39">
        <f t="shared" si="18"/>
        <v>15361</v>
      </c>
      <c r="J66" s="39">
        <f t="shared" si="18"/>
        <v>4459</v>
      </c>
      <c r="K66" s="39">
        <f t="shared" si="18"/>
        <v>6597</v>
      </c>
    </row>
    <row r="67" spans="1:11" ht="24" customHeight="1" x14ac:dyDescent="0.25">
      <c r="A67" s="14">
        <v>1</v>
      </c>
      <c r="B67" s="19" t="str">
        <f>'[1]Table by district'!B140</f>
        <v>សរុបប្រុសអាយុ១៨ឆ្នាំឡើងមានមុខរបរវិស័យកសិកម្ម(មុខរបរបន្ទាប់បន្សំ)</v>
      </c>
      <c r="C67" s="20"/>
      <c r="D67" s="21">
        <f>'[1]Table by district'!D140</f>
        <v>32265</v>
      </c>
      <c r="E67" s="21">
        <f>'[1]Table by district'!E140</f>
        <v>5942</v>
      </c>
      <c r="F67" s="21">
        <f>'[1]Table by district'!F140</f>
        <v>4837</v>
      </c>
      <c r="G67" s="21">
        <f>'[1]Table by district'!G140</f>
        <v>6306</v>
      </c>
      <c r="H67" s="21">
        <f>'[1]Table by district'!H140</f>
        <v>3685</v>
      </c>
      <c r="I67" s="21">
        <f>'[1]Table by district'!I140</f>
        <v>6738</v>
      </c>
      <c r="J67" s="21">
        <f>'[1]Table by district'!J140</f>
        <v>1328</v>
      </c>
      <c r="K67" s="21">
        <f>'[1]Table by district'!K140</f>
        <v>3429</v>
      </c>
    </row>
    <row r="68" spans="1:11" ht="24" customHeight="1" x14ac:dyDescent="0.25">
      <c r="A68" s="18">
        <v>2</v>
      </c>
      <c r="B68" s="19" t="str">
        <f>'[1]Table by district'!B141</f>
        <v>សរុបស្រីអាយុ១៨ឆ្នាំឡើងមានមុខរបរវិស័យកសិកម្ម(មុខរបរបន្ទាប់បន្សំ)</v>
      </c>
      <c r="C68" s="20"/>
      <c r="D68" s="21">
        <f>'[1]Table by district'!D141</f>
        <v>26891</v>
      </c>
      <c r="E68" s="21">
        <f>'[1]Table by district'!E141</f>
        <v>5367</v>
      </c>
      <c r="F68" s="21">
        <f>'[1]Table by district'!F141</f>
        <v>3884</v>
      </c>
      <c r="G68" s="21">
        <f>'[1]Table by district'!G141</f>
        <v>5447</v>
      </c>
      <c r="H68" s="21">
        <f>'[1]Table by district'!H141</f>
        <v>2805</v>
      </c>
      <c r="I68" s="21">
        <f>'[1]Table by district'!I141</f>
        <v>5914</v>
      </c>
      <c r="J68" s="21">
        <f>'[1]Table by district'!J141</f>
        <v>964</v>
      </c>
      <c r="K68" s="21">
        <f>'[1]Table by district'!K141</f>
        <v>2510</v>
      </c>
    </row>
    <row r="69" spans="1:11" ht="24" customHeight="1" x14ac:dyDescent="0.25">
      <c r="A69" s="18">
        <v>3</v>
      </c>
      <c r="B69" s="19" t="str">
        <f>'[1]Table by district'!B148</f>
        <v>សរុបប្រុសអាយុ១៨ឆ្នាំឡើងមានមុខរបរពីនេសាទ ចិញ្ចឹមសត្វ អនុផលព្រៃឈើ(មុខរបរបន្ទាប់បន្សំ)</v>
      </c>
      <c r="C69" s="20"/>
      <c r="D69" s="21">
        <f>'[1]Table by district'!D148</f>
        <v>4787</v>
      </c>
      <c r="E69" s="21">
        <f>'[1]Table by district'!E148</f>
        <v>946</v>
      </c>
      <c r="F69" s="21">
        <f>'[1]Table by district'!F148</f>
        <v>1237</v>
      </c>
      <c r="G69" s="21">
        <f>'[1]Table by district'!G148</f>
        <v>832</v>
      </c>
      <c r="H69" s="21">
        <f>'[1]Table by district'!H148</f>
        <v>1318</v>
      </c>
      <c r="I69" s="21">
        <f>'[1]Table by district'!I148</f>
        <v>41</v>
      </c>
      <c r="J69" s="21">
        <f>'[1]Table by district'!J148</f>
        <v>227</v>
      </c>
      <c r="K69" s="21">
        <f>'[1]Table by district'!K148</f>
        <v>186</v>
      </c>
    </row>
    <row r="70" spans="1:11" ht="24" customHeight="1" x14ac:dyDescent="0.25">
      <c r="A70" s="14">
        <v>4</v>
      </c>
      <c r="B70" s="19" t="str">
        <f>'[1]Table by district'!B149</f>
        <v>សរុបស្រីអាយុ១៨ឆ្នាំឡើងមានមុខរបរពីនេសាទ ចិញ្ចឹមសត្វ អនុផលព្រៃឈើ(មុខរបរបន្ទាប់បន្សំ)</v>
      </c>
      <c r="C70" s="20"/>
      <c r="D70" s="21">
        <f>'[1]Table by district'!D149</f>
        <v>3149</v>
      </c>
      <c r="E70" s="21">
        <f>'[1]Table by district'!E149</f>
        <v>601</v>
      </c>
      <c r="F70" s="21">
        <f>'[1]Table by district'!F149</f>
        <v>868</v>
      </c>
      <c r="G70" s="21">
        <f>'[1]Table by district'!G149</f>
        <v>705</v>
      </c>
      <c r="H70" s="21">
        <f>'[1]Table by district'!H149</f>
        <v>726</v>
      </c>
      <c r="I70" s="21">
        <f>'[1]Table by district'!I149</f>
        <v>34</v>
      </c>
      <c r="J70" s="21">
        <f>'[1]Table by district'!J149</f>
        <v>127</v>
      </c>
      <c r="K70" s="21">
        <f>'[1]Table by district'!K149</f>
        <v>88</v>
      </c>
    </row>
    <row r="71" spans="1:11" ht="24" customHeight="1" x14ac:dyDescent="0.25">
      <c r="A71" s="18">
        <v>5</v>
      </c>
      <c r="B71" s="19" t="str">
        <f>'[1]Table by district'!B166</f>
        <v>សរុបប្រុសអាយុ១៨ឆ្នាំឡើងមានមុខរបរពីវិស័យសិប្បកម្ម(មុខរបរបន្ទាប់បន្សំ)</v>
      </c>
      <c r="C71" s="20"/>
      <c r="D71" s="21">
        <f>'[1]Table by district'!D166</f>
        <v>122</v>
      </c>
      <c r="E71" s="21">
        <f>'[1]Table by district'!E166</f>
        <v>15</v>
      </c>
      <c r="F71" s="21">
        <f>'[1]Table by district'!F166</f>
        <v>26</v>
      </c>
      <c r="G71" s="21">
        <f>'[1]Table by district'!G166</f>
        <v>20</v>
      </c>
      <c r="H71" s="21">
        <f>'[1]Table by district'!H166</f>
        <v>12</v>
      </c>
      <c r="I71" s="21">
        <f>'[1]Table by district'!I166</f>
        <v>3</v>
      </c>
      <c r="J71" s="21">
        <f>'[1]Table by district'!J166</f>
        <v>41</v>
      </c>
      <c r="K71" s="21">
        <f>'[1]Table by district'!K166</f>
        <v>5</v>
      </c>
    </row>
    <row r="72" spans="1:11" ht="24" customHeight="1" x14ac:dyDescent="0.25">
      <c r="A72" s="18">
        <v>6</v>
      </c>
      <c r="B72" s="19" t="str">
        <f>'[1]Table by district'!B167</f>
        <v>សរុបស្រីអាយុ១៨ឆ្នាំឡើងមានមុខរបរពីវិស័យសិប្បកម្ម(មុខរបរបន្ទាប់បន្សំ)</v>
      </c>
      <c r="C72" s="20"/>
      <c r="D72" s="21">
        <f>'[1]Table by district'!D167</f>
        <v>69</v>
      </c>
      <c r="E72" s="21">
        <f>'[1]Table by district'!E167</f>
        <v>7</v>
      </c>
      <c r="F72" s="21">
        <f>'[1]Table by district'!F167</f>
        <v>25</v>
      </c>
      <c r="G72" s="21">
        <f>'[1]Table by district'!G167</f>
        <v>16</v>
      </c>
      <c r="H72" s="21">
        <f>'[1]Table by district'!H167</f>
        <v>8</v>
      </c>
      <c r="I72" s="21">
        <f>'[1]Table by district'!I167</f>
        <v>1</v>
      </c>
      <c r="J72" s="21">
        <f>'[1]Table by district'!J167</f>
        <v>12</v>
      </c>
      <c r="K72" s="21">
        <f>'[1]Table by district'!K167</f>
        <v>0</v>
      </c>
    </row>
    <row r="73" spans="1:11" ht="24" customHeight="1" x14ac:dyDescent="0.25">
      <c r="A73" s="14">
        <v>7</v>
      </c>
      <c r="B73" s="19" t="str">
        <f>'[1]Table by district'!B178</f>
        <v>សរុបប្រុសអាយុ១៨ឆ្នាំឡើងមានមុខរបរពីសេវាកម្ម(មុខរបរបន្ទាប់បន្សំ)</v>
      </c>
      <c r="C73" s="20"/>
      <c r="D73" s="21">
        <f>'[1]Table by district'!D178</f>
        <v>7118</v>
      </c>
      <c r="E73" s="21">
        <f>'[1]Table by district'!E178</f>
        <v>1460</v>
      </c>
      <c r="F73" s="21">
        <f>'[1]Table by district'!F178</f>
        <v>991</v>
      </c>
      <c r="G73" s="21">
        <f>'[1]Table by district'!G178</f>
        <v>950</v>
      </c>
      <c r="H73" s="21">
        <f>'[1]Table by district'!H178</f>
        <v>745</v>
      </c>
      <c r="I73" s="21">
        <f>'[1]Table by district'!I178</f>
        <v>1581</v>
      </c>
      <c r="J73" s="21">
        <f>'[1]Table by district'!J178</f>
        <v>1136</v>
      </c>
      <c r="K73" s="21">
        <f>'[1]Table by district'!K178</f>
        <v>255</v>
      </c>
    </row>
    <row r="74" spans="1:11" ht="24" customHeight="1" x14ac:dyDescent="0.25">
      <c r="A74" s="18">
        <v>8</v>
      </c>
      <c r="B74" s="23" t="str">
        <f>'[1]Table by district'!B179</f>
        <v>សរុបស្រីអាយុ១៨ឆ្នាំឡើងមានមុខរបរពីសេវាកម្ម(មុខរបរបន្ទាប់បន្សំ)</v>
      </c>
      <c r="C74" s="24"/>
      <c r="D74" s="25">
        <f>'[1]Table by district'!D179</f>
        <v>5434</v>
      </c>
      <c r="E74" s="25">
        <f>'[1]Table by district'!E179</f>
        <v>1598</v>
      </c>
      <c r="F74" s="25">
        <f>'[1]Table by district'!F179</f>
        <v>844</v>
      </c>
      <c r="G74" s="25">
        <f>'[1]Table by district'!G179</f>
        <v>767</v>
      </c>
      <c r="H74" s="25">
        <f>'[1]Table by district'!H179</f>
        <v>428</v>
      </c>
      <c r="I74" s="25">
        <f>'[1]Table by district'!I179</f>
        <v>1049</v>
      </c>
      <c r="J74" s="25">
        <f>'[1]Table by district'!J179</f>
        <v>624</v>
      </c>
      <c r="K74" s="25">
        <f>'[1]Table by district'!K179</f>
        <v>124</v>
      </c>
    </row>
    <row r="75" spans="1:11" ht="24" customHeight="1" x14ac:dyDescent="0.25">
      <c r="B75" s="37" t="str">
        <f>'[1]Table by district'!A180</f>
        <v>៨. ចំណាកស្រុក</v>
      </c>
      <c r="C75" s="38"/>
      <c r="D75" s="39">
        <f>SUM(D76:D79)</f>
        <v>26364</v>
      </c>
      <c r="E75" s="39">
        <f t="shared" ref="E75:K75" si="19">SUM(E76:E79)</f>
        <v>4244</v>
      </c>
      <c r="F75" s="39">
        <f t="shared" si="19"/>
        <v>5445</v>
      </c>
      <c r="G75" s="39">
        <f t="shared" si="19"/>
        <v>6093</v>
      </c>
      <c r="H75" s="39">
        <f t="shared" si="19"/>
        <v>3778</v>
      </c>
      <c r="I75" s="39">
        <f t="shared" si="19"/>
        <v>3565</v>
      </c>
      <c r="J75" s="39">
        <f t="shared" si="19"/>
        <v>1738</v>
      </c>
      <c r="K75" s="39">
        <f t="shared" si="19"/>
        <v>1501</v>
      </c>
    </row>
    <row r="76" spans="1:11" ht="24" customHeight="1" x14ac:dyDescent="0.25">
      <c r="A76" s="14">
        <v>1</v>
      </c>
      <c r="B76" s="15" t="str">
        <f>'[1]Table by district'!B181</f>
        <v>ប្រុសអាយុ១៨ឆ្នាំឡើងចេញទៅរកការងារធ្វើនៅក្នុងប្រទេស(ចំណាកស្រុកក្នុងស្រុក)</v>
      </c>
      <c r="C76" s="16"/>
      <c r="D76" s="17">
        <f>'[1]Table by district'!D181</f>
        <v>13515</v>
      </c>
      <c r="E76" s="17">
        <f>'[1]Table by district'!E181</f>
        <v>2011</v>
      </c>
      <c r="F76" s="17">
        <f>'[1]Table by district'!F181</f>
        <v>2786</v>
      </c>
      <c r="G76" s="17">
        <f>'[1]Table by district'!G181</f>
        <v>3107</v>
      </c>
      <c r="H76" s="17">
        <f>'[1]Table by district'!H181</f>
        <v>2095</v>
      </c>
      <c r="I76" s="17">
        <f>'[1]Table by district'!I181</f>
        <v>1811</v>
      </c>
      <c r="J76" s="17">
        <f>'[1]Table by district'!J181</f>
        <v>998</v>
      </c>
      <c r="K76" s="17">
        <f>'[1]Table by district'!K181</f>
        <v>707</v>
      </c>
    </row>
    <row r="77" spans="1:11" ht="24" customHeight="1" x14ac:dyDescent="0.25">
      <c r="A77" s="18">
        <v>2</v>
      </c>
      <c r="B77" s="19" t="str">
        <f>'[1]Table by district'!B182</f>
        <v>ស្រីអាយុ១៨ឆ្នាំឡើងចេញទៅរកការងារធ្វើនៅក្នុងប្រទេស(ចំណាកស្រុកក្នុងស្រុក)</v>
      </c>
      <c r="C77" s="20"/>
      <c r="D77" s="21">
        <f>'[1]Table by district'!D182</f>
        <v>10463</v>
      </c>
      <c r="E77" s="21">
        <f>'[1]Table by district'!E182</f>
        <v>1733</v>
      </c>
      <c r="F77" s="21">
        <f>'[1]Table by district'!F182</f>
        <v>2233</v>
      </c>
      <c r="G77" s="21">
        <f>'[1]Table by district'!G182</f>
        <v>2457</v>
      </c>
      <c r="H77" s="21">
        <f>'[1]Table by district'!H182</f>
        <v>1397</v>
      </c>
      <c r="I77" s="21">
        <f>'[1]Table by district'!I182</f>
        <v>1403</v>
      </c>
      <c r="J77" s="21">
        <f>'[1]Table by district'!J182</f>
        <v>550</v>
      </c>
      <c r="K77" s="21">
        <f>'[1]Table by district'!K182</f>
        <v>690</v>
      </c>
    </row>
    <row r="78" spans="1:11" ht="24" customHeight="1" x14ac:dyDescent="0.25">
      <c r="A78" s="18">
        <v>3</v>
      </c>
      <c r="B78" s="19" t="str">
        <f>'[1]Table by district'!B183</f>
        <v>ប្រុសអាយុ១៨ឆ្នាំឡើងចេញទៅរកការងារធ្វើនៅក្រៅប្រទេស(ចំណាកស្រុកក្រៅប្រទេស)</v>
      </c>
      <c r="C78" s="20"/>
      <c r="D78" s="21">
        <f>'[1]Table by district'!D183</f>
        <v>1491</v>
      </c>
      <c r="E78" s="21">
        <f>'[1]Table by district'!E183</f>
        <v>329</v>
      </c>
      <c r="F78" s="21">
        <f>'[1]Table by district'!F183</f>
        <v>250</v>
      </c>
      <c r="G78" s="21">
        <f>'[1]Table by district'!G183</f>
        <v>305</v>
      </c>
      <c r="H78" s="21">
        <f>'[1]Table by district'!H183</f>
        <v>195</v>
      </c>
      <c r="I78" s="21">
        <f>'[1]Table by district'!I183</f>
        <v>224</v>
      </c>
      <c r="J78" s="21">
        <f>'[1]Table by district'!J183</f>
        <v>113</v>
      </c>
      <c r="K78" s="21">
        <f>'[1]Table by district'!K183</f>
        <v>75</v>
      </c>
    </row>
    <row r="79" spans="1:11" ht="24" customHeight="1" x14ac:dyDescent="0.25">
      <c r="A79" s="14">
        <v>4</v>
      </c>
      <c r="B79" s="23" t="str">
        <f>'[1]Table by district'!B184</f>
        <v>ស្រីអាយុ១៨ឆ្នាំឡើងចេញទៅរកការងារធ្វើនៅក្រៅប្រទេស(ចំណាកស្រុកក្រៅប្រទេស)</v>
      </c>
      <c r="C79" s="24"/>
      <c r="D79" s="25">
        <f>'[1]Table by district'!D184</f>
        <v>895</v>
      </c>
      <c r="E79" s="25">
        <f>'[1]Table by district'!E184</f>
        <v>171</v>
      </c>
      <c r="F79" s="25">
        <f>'[1]Table by district'!F184</f>
        <v>176</v>
      </c>
      <c r="G79" s="25">
        <f>'[1]Table by district'!G184</f>
        <v>224</v>
      </c>
      <c r="H79" s="25">
        <f>'[1]Table by district'!H184</f>
        <v>91</v>
      </c>
      <c r="I79" s="25">
        <f>'[1]Table by district'!I184</f>
        <v>127</v>
      </c>
      <c r="J79" s="25">
        <f>'[1]Table by district'!J184</f>
        <v>77</v>
      </c>
      <c r="K79" s="25">
        <f>'[1]Table by district'!K184</f>
        <v>29</v>
      </c>
    </row>
    <row r="80" spans="1:11" ht="24" customHeight="1" x14ac:dyDescent="0.25">
      <c r="B80" s="37" t="str">
        <f>'[1]Table by district'!A185</f>
        <v>៩. ផលិតកម្ម</v>
      </c>
      <c r="C80" s="38"/>
      <c r="D80" s="39"/>
      <c r="E80" s="39"/>
      <c r="F80" s="39"/>
      <c r="G80" s="39"/>
      <c r="H80" s="39"/>
      <c r="I80" s="39"/>
      <c r="J80" s="39"/>
      <c r="K80" s="39"/>
    </row>
    <row r="81" spans="1:11" ht="24" customHeight="1" x14ac:dyDescent="0.25">
      <c r="A81" s="14">
        <v>1</v>
      </c>
      <c r="B81" s="5" t="s">
        <v>53</v>
      </c>
      <c r="C81" s="16"/>
      <c r="D81" s="17">
        <f>SUM('[1]Table by district'!B186,'[1]Table by district'!B189,'[1]Table by district'!B192)</f>
        <v>0</v>
      </c>
      <c r="E81" s="17">
        <f>SUM('[1]Table by district'!C186,'[1]Table by district'!C189,'[1]Table by district'!C192)</f>
        <v>0</v>
      </c>
      <c r="F81" s="17">
        <f>SUM('[1]Table by district'!D186,'[1]Table by district'!D189,'[1]Table by district'!D192)</f>
        <v>0</v>
      </c>
      <c r="G81" s="17">
        <f>SUM('[1]Table by district'!E186,'[1]Table by district'!E189,'[1]Table by district'!E192)</f>
        <v>0</v>
      </c>
      <c r="H81" s="17">
        <f>SUM('[1]Table by district'!F186,'[1]Table by district'!F189,'[1]Table by district'!F192)</f>
        <v>0</v>
      </c>
      <c r="I81" s="17">
        <f>SUM('[1]Table by district'!G186,'[1]Table by district'!G189,'[1]Table by district'!G192)</f>
        <v>0</v>
      </c>
      <c r="J81" s="17">
        <f>SUM('[1]Table by district'!H186,'[1]Table by district'!H189,'[1]Table by district'!H192)</f>
        <v>0</v>
      </c>
      <c r="K81" s="17">
        <f>SUM('[1]Table by district'!I186,'[1]Table by district'!I189,'[1]Table by district'!I192)</f>
        <v>0</v>
      </c>
    </row>
    <row r="82" spans="1:11" ht="24" customHeight="1" x14ac:dyDescent="0.25">
      <c r="A82" s="18">
        <v>2</v>
      </c>
      <c r="B82" s="5" t="s">
        <v>54</v>
      </c>
      <c r="C82" s="20"/>
      <c r="D82" s="17">
        <f>SUM('[1]Table by district'!B187,'[1]Table by district'!B190,'[1]Table by district'!B193)</f>
        <v>0</v>
      </c>
      <c r="E82" s="17">
        <f>SUM('[1]Table by district'!C187,'[1]Table by district'!C190,'[1]Table by district'!C193)</f>
        <v>0</v>
      </c>
      <c r="F82" s="17">
        <f>SUM('[1]Table by district'!D187,'[1]Table by district'!D190,'[1]Table by district'!D193)</f>
        <v>0</v>
      </c>
      <c r="G82" s="17">
        <f>SUM('[1]Table by district'!E187,'[1]Table by district'!E190,'[1]Table by district'!E193)</f>
        <v>0</v>
      </c>
      <c r="H82" s="17">
        <f>SUM('[1]Table by district'!F187,'[1]Table by district'!F190,'[1]Table by district'!F193)</f>
        <v>0</v>
      </c>
      <c r="I82" s="17">
        <f>SUM('[1]Table by district'!G187,'[1]Table by district'!G190,'[1]Table by district'!G193)</f>
        <v>0</v>
      </c>
      <c r="J82" s="17">
        <f>SUM('[1]Table by district'!H187,'[1]Table by district'!H190,'[1]Table by district'!H193)</f>
        <v>0</v>
      </c>
      <c r="K82" s="17">
        <f>SUM('[1]Table by district'!I187,'[1]Table by district'!I190,'[1]Table by district'!I193)</f>
        <v>0</v>
      </c>
    </row>
    <row r="83" spans="1:11" ht="24" customHeight="1" x14ac:dyDescent="0.25">
      <c r="A83" s="18">
        <v>3</v>
      </c>
      <c r="B83" s="5" t="s">
        <v>55</v>
      </c>
      <c r="C83" s="20"/>
      <c r="D83" s="17">
        <f>SUM('[1]Table by district'!B188,'[1]Table by district'!B191,'[1]Table by district'!B194)</f>
        <v>0</v>
      </c>
      <c r="E83" s="17">
        <f>SUM('[1]Table by district'!C188,'[1]Table by district'!C191,'[1]Table by district'!C194)</f>
        <v>0</v>
      </c>
      <c r="F83" s="17">
        <f>SUM('[1]Table by district'!D188,'[1]Table by district'!D191,'[1]Table by district'!D194)</f>
        <v>0</v>
      </c>
      <c r="G83" s="17">
        <f>SUM('[1]Table by district'!E188,'[1]Table by district'!E191,'[1]Table by district'!E194)</f>
        <v>0</v>
      </c>
      <c r="H83" s="17">
        <f>SUM('[1]Table by district'!F188,'[1]Table by district'!F191,'[1]Table by district'!F194)</f>
        <v>0</v>
      </c>
      <c r="I83" s="17">
        <f>SUM('[1]Table by district'!G188,'[1]Table by district'!G191,'[1]Table by district'!G194)</f>
        <v>0</v>
      </c>
      <c r="J83" s="17">
        <f>SUM('[1]Table by district'!H188,'[1]Table by district'!H191,'[1]Table by district'!H194)</f>
        <v>0</v>
      </c>
      <c r="K83" s="17">
        <f>SUM('[1]Table by district'!I188,'[1]Table by district'!I191,'[1]Table by district'!I194)</f>
        <v>0</v>
      </c>
    </row>
    <row r="84" spans="1:11" ht="24" customHeight="1" x14ac:dyDescent="0.25">
      <c r="A84" s="14">
        <v>4</v>
      </c>
      <c r="B84" s="5" t="s">
        <v>56</v>
      </c>
      <c r="C84" s="20"/>
      <c r="D84" s="21">
        <f>'[1]Table by district'!D195</f>
        <v>8</v>
      </c>
      <c r="E84" s="21">
        <f>'[1]Table by district'!E195</f>
        <v>3</v>
      </c>
      <c r="F84" s="21">
        <f>'[1]Table by district'!F195</f>
        <v>0</v>
      </c>
      <c r="G84" s="21">
        <f>'[1]Table by district'!G195</f>
        <v>1</v>
      </c>
      <c r="H84" s="21">
        <f>'[1]Table by district'!H195</f>
        <v>0</v>
      </c>
      <c r="I84" s="21">
        <f>'[1]Table by district'!I195</f>
        <v>0</v>
      </c>
      <c r="J84" s="21">
        <f>'[1]Table by district'!J195</f>
        <v>0</v>
      </c>
      <c r="K84" s="21">
        <f>'[1]Table by district'!K195</f>
        <v>4</v>
      </c>
    </row>
    <row r="85" spans="1:11" ht="24" customHeight="1" x14ac:dyDescent="0.25">
      <c r="A85" s="14">
        <v>5</v>
      </c>
      <c r="B85" s="5" t="s">
        <v>57</v>
      </c>
      <c r="C85" s="20"/>
      <c r="D85" s="21">
        <f>'[1]Table by district'!D196</f>
        <v>31</v>
      </c>
      <c r="E85" s="21">
        <f>'[1]Table by district'!E196</f>
        <v>12</v>
      </c>
      <c r="F85" s="21">
        <f>'[1]Table by district'!F196</f>
        <v>0</v>
      </c>
      <c r="G85" s="21">
        <f>'[1]Table by district'!G196</f>
        <v>15</v>
      </c>
      <c r="H85" s="21">
        <f>'[1]Table by district'!H196</f>
        <v>0</v>
      </c>
      <c r="I85" s="21">
        <f>'[1]Table by district'!I196</f>
        <v>0</v>
      </c>
      <c r="J85" s="21">
        <f>'[1]Table by district'!J196</f>
        <v>0</v>
      </c>
      <c r="K85" s="21">
        <f>'[1]Table by district'!K196</f>
        <v>4</v>
      </c>
    </row>
    <row r="86" spans="1:11" ht="24" customHeight="1" x14ac:dyDescent="0.25">
      <c r="A86" s="18">
        <v>6</v>
      </c>
      <c r="B86" s="5" t="s">
        <v>58</v>
      </c>
      <c r="C86" s="20"/>
      <c r="D86" s="21">
        <f>'[1]Table by district'!D197</f>
        <v>6</v>
      </c>
      <c r="E86" s="21">
        <f>'[1]Table by district'!E197</f>
        <v>2</v>
      </c>
      <c r="F86" s="21">
        <f>'[1]Table by district'!F197</f>
        <v>0</v>
      </c>
      <c r="G86" s="21">
        <f>'[1]Table by district'!G197</f>
        <v>4</v>
      </c>
      <c r="H86" s="21">
        <f>'[1]Table by district'!H197</f>
        <v>0</v>
      </c>
      <c r="I86" s="21">
        <f>'[1]Table by district'!I197</f>
        <v>0</v>
      </c>
      <c r="J86" s="21">
        <f>'[1]Table by district'!J197</f>
        <v>0</v>
      </c>
      <c r="K86" s="21">
        <f>'[1]Table by district'!K197</f>
        <v>0</v>
      </c>
    </row>
    <row r="87" spans="1:11" ht="24" customHeight="1" x14ac:dyDescent="0.25">
      <c r="A87" s="18">
        <v>7</v>
      </c>
      <c r="B87" s="19" t="s">
        <v>59</v>
      </c>
      <c r="C87" s="20"/>
      <c r="D87" s="21">
        <f>SUM('[1]Table by district'!D198,'[1]Table by district'!D201,'[1]Table by district'!D204,'[1]Table by district'!D207,'[1]Table by district'!D210,'[1]Table by district'!D213)</f>
        <v>130</v>
      </c>
      <c r="E87" s="21">
        <f>SUM('[1]Table by district'!E198,'[1]Table by district'!E201,'[1]Table by district'!E204,'[1]Table by district'!E207,'[1]Table by district'!E210,'[1]Table by district'!E213)</f>
        <v>10</v>
      </c>
      <c r="F87" s="21">
        <f>SUM('[1]Table by district'!F198,'[1]Table by district'!F201,'[1]Table by district'!F204,'[1]Table by district'!F207,'[1]Table by district'!F210,'[1]Table by district'!F213)</f>
        <v>44</v>
      </c>
      <c r="G87" s="21">
        <f>SUM('[1]Table by district'!G198,'[1]Table by district'!G201,'[1]Table by district'!G204,'[1]Table by district'!G207,'[1]Table by district'!G210,'[1]Table by district'!G213)</f>
        <v>16</v>
      </c>
      <c r="H87" s="21">
        <f>SUM('[1]Table by district'!H198,'[1]Table by district'!H201,'[1]Table by district'!H204,'[1]Table by district'!H207,'[1]Table by district'!H210,'[1]Table by district'!H213)</f>
        <v>28</v>
      </c>
      <c r="I87" s="21">
        <f>SUM('[1]Table by district'!I198,'[1]Table by district'!I201,'[1]Table by district'!I204,'[1]Table by district'!I207,'[1]Table by district'!I210,'[1]Table by district'!I213)</f>
        <v>7</v>
      </c>
      <c r="J87" s="21">
        <f>SUM('[1]Table by district'!J198,'[1]Table by district'!J201,'[1]Table by district'!J204,'[1]Table by district'!J207,'[1]Table by district'!J210,'[1]Table by district'!J213)</f>
        <v>25</v>
      </c>
      <c r="K87" s="21">
        <f>SUM('[1]Table by district'!K198,'[1]Table by district'!K201,'[1]Table by district'!K204,'[1]Table by district'!K207,'[1]Table by district'!K210,'[1]Table by district'!K213)</f>
        <v>0</v>
      </c>
    </row>
    <row r="88" spans="1:11" ht="24" customHeight="1" x14ac:dyDescent="0.25">
      <c r="A88" s="14">
        <v>8</v>
      </c>
      <c r="B88" s="19" t="s">
        <v>60</v>
      </c>
      <c r="C88" s="20"/>
      <c r="D88" s="21">
        <f>SUM('[1]Table by district'!D199,'[1]Table by district'!D202,'[1]Table by district'!D205,'[1]Table by district'!D208,'[1]Table by district'!D211,'[1]Table by district'!D214)</f>
        <v>581</v>
      </c>
      <c r="E88" s="21">
        <f>SUM('[1]Table by district'!E199,'[1]Table by district'!E202,'[1]Table by district'!E205,'[1]Table by district'!E208,'[1]Table by district'!E211,'[1]Table by district'!E214)</f>
        <v>33</v>
      </c>
      <c r="F88" s="21">
        <f>SUM('[1]Table by district'!F199,'[1]Table by district'!F202,'[1]Table by district'!F205,'[1]Table by district'!F208,'[1]Table by district'!F211,'[1]Table by district'!F214)</f>
        <v>298</v>
      </c>
      <c r="G88" s="21">
        <f>SUM('[1]Table by district'!G199,'[1]Table by district'!G202,'[1]Table by district'!G205,'[1]Table by district'!G208,'[1]Table by district'!G211,'[1]Table by district'!G214)</f>
        <v>25</v>
      </c>
      <c r="H88" s="21">
        <f>SUM('[1]Table by district'!H199,'[1]Table by district'!H202,'[1]Table by district'!H205,'[1]Table by district'!H208,'[1]Table by district'!H211,'[1]Table by district'!H214)</f>
        <v>59</v>
      </c>
      <c r="I88" s="21">
        <f>SUM('[1]Table by district'!I199,'[1]Table by district'!I202,'[1]Table by district'!I205,'[1]Table by district'!I208,'[1]Table by district'!I211,'[1]Table by district'!I214)</f>
        <v>11</v>
      </c>
      <c r="J88" s="21">
        <f>SUM('[1]Table by district'!J199,'[1]Table by district'!J202,'[1]Table by district'!J205,'[1]Table by district'!J208,'[1]Table by district'!J211,'[1]Table by district'!J214)</f>
        <v>155</v>
      </c>
      <c r="K88" s="21">
        <f>SUM('[1]Table by district'!K199,'[1]Table by district'!K202,'[1]Table by district'!K205,'[1]Table by district'!K208,'[1]Table by district'!K211,'[1]Table by district'!K214)</f>
        <v>0</v>
      </c>
    </row>
    <row r="89" spans="1:11" ht="24" customHeight="1" x14ac:dyDescent="0.25">
      <c r="A89" s="14">
        <v>9</v>
      </c>
      <c r="B89" s="19" t="s">
        <v>61</v>
      </c>
      <c r="C89" s="20"/>
      <c r="D89" s="21">
        <f>SUM('[1]Table by district'!D200,'[1]Table by district'!D203,'[1]Table by district'!D206,'[1]Table by district'!D209,'[1]Table by district'!D212,'[1]Table by district'!D215)</f>
        <v>184</v>
      </c>
      <c r="E89" s="21">
        <f>SUM('[1]Table by district'!E200,'[1]Table by district'!E203,'[1]Table by district'!E206,'[1]Table by district'!E209,'[1]Table by district'!E212,'[1]Table by district'!E215)</f>
        <v>18</v>
      </c>
      <c r="F89" s="21">
        <f>SUM('[1]Table by district'!F200,'[1]Table by district'!F203,'[1]Table by district'!F206,'[1]Table by district'!F209,'[1]Table by district'!F212,'[1]Table by district'!F215)</f>
        <v>95</v>
      </c>
      <c r="G89" s="21">
        <f>SUM('[1]Table by district'!G200,'[1]Table by district'!G203,'[1]Table by district'!G206,'[1]Table by district'!G209,'[1]Table by district'!G212,'[1]Table by district'!G215)</f>
        <v>13</v>
      </c>
      <c r="H89" s="21">
        <f>SUM('[1]Table by district'!H200,'[1]Table by district'!H203,'[1]Table by district'!H206,'[1]Table by district'!H209,'[1]Table by district'!H212,'[1]Table by district'!H215)</f>
        <v>8</v>
      </c>
      <c r="I89" s="21">
        <f>SUM('[1]Table by district'!I200,'[1]Table by district'!I203,'[1]Table by district'!I206,'[1]Table by district'!I209,'[1]Table by district'!I212,'[1]Table by district'!I215)</f>
        <v>4</v>
      </c>
      <c r="J89" s="21">
        <f>SUM('[1]Table by district'!J200,'[1]Table by district'!J203,'[1]Table by district'!J206,'[1]Table by district'!J209,'[1]Table by district'!J212,'[1]Table by district'!J215)</f>
        <v>46</v>
      </c>
      <c r="K89" s="21">
        <f>SUM('[1]Table by district'!K200,'[1]Table by district'!K203,'[1]Table by district'!K206,'[1]Table by district'!K209,'[1]Table by district'!K212,'[1]Table by district'!K215)</f>
        <v>0</v>
      </c>
    </row>
    <row r="90" spans="1:11" ht="24" customHeight="1" x14ac:dyDescent="0.25">
      <c r="A90" s="18">
        <v>10</v>
      </c>
      <c r="B90" s="19" t="s">
        <v>62</v>
      </c>
      <c r="C90" s="20"/>
      <c r="D90" s="21">
        <f>SUM('[1]Table by district'!D216,'[1]Table by district'!D219,'[1]Table by district'!D222)</f>
        <v>172</v>
      </c>
      <c r="E90" s="21">
        <f>SUM('[1]Table by district'!E216,'[1]Table by district'!E219,'[1]Table by district'!E222)</f>
        <v>36</v>
      </c>
      <c r="F90" s="21">
        <f>SUM('[1]Table by district'!F216,'[1]Table by district'!F219,'[1]Table by district'!F222)</f>
        <v>22</v>
      </c>
      <c r="G90" s="21">
        <f>SUM('[1]Table by district'!G216,'[1]Table by district'!G219,'[1]Table by district'!G222)</f>
        <v>37</v>
      </c>
      <c r="H90" s="21">
        <f>SUM('[1]Table by district'!H216,'[1]Table by district'!H219,'[1]Table by district'!H222)</f>
        <v>11</v>
      </c>
      <c r="I90" s="21">
        <f>SUM('[1]Table by district'!I216,'[1]Table by district'!I219,'[1]Table by district'!I222)</f>
        <v>19</v>
      </c>
      <c r="J90" s="21">
        <f>SUM('[1]Table by district'!J216,'[1]Table by district'!J219,'[1]Table by district'!J222)</f>
        <v>42</v>
      </c>
      <c r="K90" s="21">
        <f>SUM('[1]Table by district'!K216,'[1]Table by district'!K219,'[1]Table by district'!K222)</f>
        <v>5</v>
      </c>
    </row>
    <row r="91" spans="1:11" ht="24" customHeight="1" x14ac:dyDescent="0.25">
      <c r="A91" s="18">
        <v>11</v>
      </c>
      <c r="B91" s="19" t="s">
        <v>63</v>
      </c>
      <c r="C91" s="20"/>
      <c r="D91" s="21">
        <f>SUM('[1]Table by district'!D217,'[1]Table by district'!D220,'[1]Table by district'!D223)</f>
        <v>606</v>
      </c>
      <c r="E91" s="21">
        <f>SUM('[1]Table by district'!E217,'[1]Table by district'!E220,'[1]Table by district'!E223)</f>
        <v>130</v>
      </c>
      <c r="F91" s="21">
        <f>SUM('[1]Table by district'!F217,'[1]Table by district'!F220,'[1]Table by district'!F223)</f>
        <v>55</v>
      </c>
      <c r="G91" s="21">
        <f>SUM('[1]Table by district'!G217,'[1]Table by district'!G220,'[1]Table by district'!G223)</f>
        <v>100</v>
      </c>
      <c r="H91" s="21">
        <f>SUM('[1]Table by district'!H217,'[1]Table by district'!H220,'[1]Table by district'!H223)</f>
        <v>34</v>
      </c>
      <c r="I91" s="21">
        <f>SUM('[1]Table by district'!I217,'[1]Table by district'!I220,'[1]Table by district'!I223)</f>
        <v>103</v>
      </c>
      <c r="J91" s="21">
        <f>SUM('[1]Table by district'!J217,'[1]Table by district'!J220,'[1]Table by district'!J223)</f>
        <v>155</v>
      </c>
      <c r="K91" s="21">
        <f>SUM('[1]Table by district'!K217,'[1]Table by district'!K220,'[1]Table by district'!K223)</f>
        <v>29</v>
      </c>
    </row>
    <row r="92" spans="1:11" ht="24" customHeight="1" x14ac:dyDescent="0.25">
      <c r="A92" s="14">
        <v>12</v>
      </c>
      <c r="B92" s="19" t="s">
        <v>64</v>
      </c>
      <c r="C92" s="20"/>
      <c r="D92" s="21">
        <f>SUM('[1]Table by district'!D218,'[1]Table by district'!D221,'[1]Table by district'!D224)</f>
        <v>298</v>
      </c>
      <c r="E92" s="21">
        <f>SUM('[1]Table by district'!E218,'[1]Table by district'!E221,'[1]Table by district'!E224)</f>
        <v>65</v>
      </c>
      <c r="F92" s="21">
        <f>SUM('[1]Table by district'!F218,'[1]Table by district'!F221,'[1]Table by district'!F224)</f>
        <v>31</v>
      </c>
      <c r="G92" s="21">
        <f>SUM('[1]Table by district'!G218,'[1]Table by district'!G221,'[1]Table by district'!G224)</f>
        <v>51</v>
      </c>
      <c r="H92" s="21">
        <f>SUM('[1]Table by district'!H218,'[1]Table by district'!H221,'[1]Table by district'!H224)</f>
        <v>23</v>
      </c>
      <c r="I92" s="21">
        <f>SUM('[1]Table by district'!I218,'[1]Table by district'!I221,'[1]Table by district'!I224)</f>
        <v>55</v>
      </c>
      <c r="J92" s="21">
        <f>SUM('[1]Table by district'!J218,'[1]Table by district'!J221,'[1]Table by district'!J224)</f>
        <v>61</v>
      </c>
      <c r="K92" s="21">
        <f>SUM('[1]Table by district'!K218,'[1]Table by district'!K221,'[1]Table by district'!K224)</f>
        <v>12</v>
      </c>
    </row>
    <row r="93" spans="1:11" ht="24" customHeight="1" x14ac:dyDescent="0.25">
      <c r="A93" s="14">
        <v>13</v>
      </c>
      <c r="B93" s="19" t="s">
        <v>65</v>
      </c>
      <c r="C93" s="20"/>
      <c r="D93" s="21">
        <f>SUM('[1]Table by district'!D225,'[1]Table by district'!D228,'[1]Table by district'!D231)</f>
        <v>31</v>
      </c>
      <c r="E93" s="21">
        <f>SUM('[1]Table by district'!E225,'[1]Table by district'!E228,'[1]Table by district'!E231)</f>
        <v>3</v>
      </c>
      <c r="F93" s="21">
        <f>SUM('[1]Table by district'!F225,'[1]Table by district'!F228,'[1]Table by district'!F231)</f>
        <v>12</v>
      </c>
      <c r="G93" s="21">
        <f>SUM('[1]Table by district'!G225,'[1]Table by district'!G228,'[1]Table by district'!G231)</f>
        <v>4</v>
      </c>
      <c r="H93" s="21">
        <f>SUM('[1]Table by district'!H225,'[1]Table by district'!H228,'[1]Table by district'!H231)</f>
        <v>3</v>
      </c>
      <c r="I93" s="21">
        <f>SUM('[1]Table by district'!I225,'[1]Table by district'!I228,'[1]Table by district'!I231)</f>
        <v>4</v>
      </c>
      <c r="J93" s="21">
        <f>SUM('[1]Table by district'!J225,'[1]Table by district'!J228,'[1]Table by district'!J231)</f>
        <v>5</v>
      </c>
      <c r="K93" s="21">
        <f>SUM('[1]Table by district'!K225,'[1]Table by district'!K228,'[1]Table by district'!K231)</f>
        <v>0</v>
      </c>
    </row>
    <row r="94" spans="1:11" ht="24" customHeight="1" x14ac:dyDescent="0.25">
      <c r="A94" s="18">
        <v>14</v>
      </c>
      <c r="B94" s="19" t="s">
        <v>66</v>
      </c>
      <c r="C94" s="20"/>
      <c r="D94" s="21">
        <f>SUM('[1]Table by district'!D226,'[1]Table by district'!D229,'[1]Table by district'!D232)</f>
        <v>216</v>
      </c>
      <c r="E94" s="21">
        <f>SUM('[1]Table by district'!E226,'[1]Table by district'!E229,'[1]Table by district'!E232)</f>
        <v>10</v>
      </c>
      <c r="F94" s="21">
        <f>SUM('[1]Table by district'!F226,'[1]Table by district'!F229,'[1]Table by district'!F232)</f>
        <v>46</v>
      </c>
      <c r="G94" s="21">
        <f>SUM('[1]Table by district'!G226,'[1]Table by district'!G229,'[1]Table by district'!G232)</f>
        <v>10</v>
      </c>
      <c r="H94" s="21">
        <f>SUM('[1]Table by district'!H226,'[1]Table by district'!H229,'[1]Table by district'!H232)</f>
        <v>8</v>
      </c>
      <c r="I94" s="21">
        <f>SUM('[1]Table by district'!I226,'[1]Table by district'!I229,'[1]Table by district'!I232)</f>
        <v>125</v>
      </c>
      <c r="J94" s="21">
        <f>SUM('[1]Table by district'!J226,'[1]Table by district'!J229,'[1]Table by district'!J232)</f>
        <v>17</v>
      </c>
      <c r="K94" s="21">
        <f>SUM('[1]Table by district'!K226,'[1]Table by district'!K229,'[1]Table by district'!K232)</f>
        <v>0</v>
      </c>
    </row>
    <row r="95" spans="1:11" ht="24" customHeight="1" x14ac:dyDescent="0.25">
      <c r="A95" s="18">
        <v>15</v>
      </c>
      <c r="B95" s="19" t="s">
        <v>67</v>
      </c>
      <c r="C95" s="20"/>
      <c r="D95" s="21">
        <f>SUM('[1]Table by district'!D227,'[1]Table by district'!D230,'[1]Table by district'!D233)</f>
        <v>126</v>
      </c>
      <c r="E95" s="21">
        <f>SUM('[1]Table by district'!E227,'[1]Table by district'!E230,'[1]Table by district'!E233)</f>
        <v>0</v>
      </c>
      <c r="F95" s="21">
        <f>SUM('[1]Table by district'!F227,'[1]Table by district'!F230,'[1]Table by district'!F233)</f>
        <v>34</v>
      </c>
      <c r="G95" s="21">
        <f>SUM('[1]Table by district'!G227,'[1]Table by district'!G230,'[1]Table by district'!G233)</f>
        <v>3</v>
      </c>
      <c r="H95" s="21">
        <f>SUM('[1]Table by district'!H227,'[1]Table by district'!H230,'[1]Table by district'!H233)</f>
        <v>5</v>
      </c>
      <c r="I95" s="21">
        <f>SUM('[1]Table by district'!I227,'[1]Table by district'!I230,'[1]Table by district'!I233)</f>
        <v>76</v>
      </c>
      <c r="J95" s="21">
        <f>SUM('[1]Table by district'!J227,'[1]Table by district'!J230,'[1]Table by district'!J233)</f>
        <v>8</v>
      </c>
      <c r="K95" s="21">
        <f>SUM('[1]Table by district'!K227,'[1]Table by district'!K230,'[1]Table by district'!K233)</f>
        <v>0</v>
      </c>
    </row>
    <row r="96" spans="1:11" ht="24" customHeight="1" x14ac:dyDescent="0.25">
      <c r="A96" s="14">
        <v>16</v>
      </c>
      <c r="B96" s="40" t="str">
        <f>'[1]Table by district'!B234</f>
        <v>ចំនួនសរុបទីតាំងសិប្បកម្ម ផលិតកម្មទាំងអស់</v>
      </c>
      <c r="C96" s="20"/>
      <c r="D96" s="21">
        <f>'[1]Table by district'!D234</f>
        <v>341</v>
      </c>
      <c r="E96" s="21">
        <f>'[1]Table by district'!E234</f>
        <v>52</v>
      </c>
      <c r="F96" s="21">
        <f>'[1]Table by district'!F234</f>
        <v>78</v>
      </c>
      <c r="G96" s="21">
        <f>'[1]Table by district'!G234</f>
        <v>58</v>
      </c>
      <c r="H96" s="21">
        <f>'[1]Table by district'!H234</f>
        <v>42</v>
      </c>
      <c r="I96" s="21">
        <f>'[1]Table by district'!I234</f>
        <v>30</v>
      </c>
      <c r="J96" s="21">
        <f>'[1]Table by district'!J234</f>
        <v>72</v>
      </c>
      <c r="K96" s="21">
        <f>'[1]Table by district'!K234</f>
        <v>9</v>
      </c>
    </row>
    <row r="97" spans="1:11" ht="24" customHeight="1" x14ac:dyDescent="0.25">
      <c r="A97" s="14">
        <v>17</v>
      </c>
      <c r="B97" s="40" t="str">
        <f>'[1]Table by district'!B235</f>
        <v>ចំនួនសរុបកម្មករធ្វើការនៅតាមទីតាំងសិប្បកម្ម ផលិតកម្មទាំងអស់</v>
      </c>
      <c r="C97" s="20"/>
      <c r="D97" s="21">
        <f>'[1]Table by district'!D235</f>
        <v>1434</v>
      </c>
      <c r="E97" s="21">
        <f>'[1]Table by district'!E235</f>
        <v>185</v>
      </c>
      <c r="F97" s="21">
        <f>'[1]Table by district'!F235</f>
        <v>399</v>
      </c>
      <c r="G97" s="21">
        <f>'[1]Table by district'!G235</f>
        <v>150</v>
      </c>
      <c r="H97" s="21">
        <f>'[1]Table by district'!H235</f>
        <v>101</v>
      </c>
      <c r="I97" s="21">
        <f>'[1]Table by district'!I235</f>
        <v>239</v>
      </c>
      <c r="J97" s="21">
        <f>'[1]Table by district'!J235</f>
        <v>327</v>
      </c>
      <c r="K97" s="21">
        <f>'[1]Table by district'!K235</f>
        <v>33</v>
      </c>
    </row>
    <row r="98" spans="1:11" ht="24" customHeight="1" x14ac:dyDescent="0.25">
      <c r="A98" s="18">
        <v>18</v>
      </c>
      <c r="B98" s="41" t="str">
        <f>'[1]Table by district'!B236</f>
        <v>ចំនួនសរុបកម្មករស្រីធ្វើការនៅតាមទីតាំងសិប្បកម្ម ផលិតកម្មទាំងអស់</v>
      </c>
      <c r="C98" s="24"/>
      <c r="D98" s="25">
        <f>'[1]Table by district'!D236</f>
        <v>614</v>
      </c>
      <c r="E98" s="25">
        <f>'[1]Table by district'!E236</f>
        <v>85</v>
      </c>
      <c r="F98" s="25">
        <f>'[1]Table by district'!F236</f>
        <v>160</v>
      </c>
      <c r="G98" s="25">
        <f>'[1]Table by district'!G236</f>
        <v>71</v>
      </c>
      <c r="H98" s="25">
        <f>'[1]Table by district'!H236</f>
        <v>36</v>
      </c>
      <c r="I98" s="25">
        <f>'[1]Table by district'!I236</f>
        <v>135</v>
      </c>
      <c r="J98" s="25">
        <f>'[1]Table by district'!J236</f>
        <v>115</v>
      </c>
      <c r="K98" s="25">
        <f>'[1]Table by district'!K236</f>
        <v>12</v>
      </c>
    </row>
    <row r="99" spans="1:11" ht="24" customHeight="1" x14ac:dyDescent="0.25">
      <c r="B99" s="37" t="str">
        <f>'[1]Table by district'!A237</f>
        <v>១០. សេវាកម្ម</v>
      </c>
      <c r="C99" s="38"/>
      <c r="D99" s="39"/>
      <c r="E99" s="39"/>
      <c r="F99" s="39"/>
      <c r="G99" s="39"/>
      <c r="H99" s="39"/>
      <c r="I99" s="39"/>
      <c r="J99" s="39"/>
      <c r="K99" s="39"/>
    </row>
    <row r="100" spans="1:11" ht="24" customHeight="1" x14ac:dyDescent="0.25">
      <c r="A100" s="14">
        <v>1</v>
      </c>
      <c r="B100" s="15" t="str">
        <f>'[1]Table by district'!B238</f>
        <v>ចំនួនទីតាំងផ្សារទំនើប</v>
      </c>
      <c r="C100" s="16"/>
      <c r="D100" s="17">
        <f>'[1]Table by district'!D238</f>
        <v>0</v>
      </c>
      <c r="E100" s="17">
        <f>'[1]Table by district'!E238</f>
        <v>0</v>
      </c>
      <c r="F100" s="17">
        <f>'[1]Table by district'!F238</f>
        <v>0</v>
      </c>
      <c r="G100" s="17">
        <f>'[1]Table by district'!G238</f>
        <v>0</v>
      </c>
      <c r="H100" s="17">
        <f>'[1]Table by district'!H238</f>
        <v>0</v>
      </c>
      <c r="I100" s="17">
        <f>'[1]Table by district'!I238</f>
        <v>0</v>
      </c>
      <c r="J100" s="17">
        <f>'[1]Table by district'!J238</f>
        <v>0</v>
      </c>
      <c r="K100" s="17">
        <f>'[1]Table by district'!K238</f>
        <v>0</v>
      </c>
    </row>
    <row r="101" spans="1:11" ht="24" customHeight="1" x14ac:dyDescent="0.25">
      <c r="A101" s="18">
        <v>2</v>
      </c>
      <c r="B101" s="19" t="str">
        <f>'[1]Table by district'!B239</f>
        <v>ចំនួនទីតាំងផ្សារមធ្យម(ផ្សារធម្មតាតែលក់ពេញមួយថ្ងៃ)</v>
      </c>
      <c r="C101" s="20"/>
      <c r="D101" s="21">
        <f>'[1]Table by district'!D239</f>
        <v>13</v>
      </c>
      <c r="E101" s="21">
        <f>'[1]Table by district'!E239</f>
        <v>2</v>
      </c>
      <c r="F101" s="21">
        <f>'[1]Table by district'!F239</f>
        <v>1</v>
      </c>
      <c r="G101" s="21">
        <f>'[1]Table by district'!G239</f>
        <v>3</v>
      </c>
      <c r="H101" s="21">
        <f>'[1]Table by district'!H239</f>
        <v>2</v>
      </c>
      <c r="I101" s="21">
        <f>'[1]Table by district'!I239</f>
        <v>4</v>
      </c>
      <c r="J101" s="21">
        <f>'[1]Table by district'!J239</f>
        <v>1</v>
      </c>
      <c r="K101" s="21">
        <f>'[1]Table by district'!K239</f>
        <v>0</v>
      </c>
    </row>
    <row r="102" spans="1:11" ht="24" customHeight="1" x14ac:dyDescent="0.25">
      <c r="A102" s="18">
        <v>3</v>
      </c>
      <c r="B102" s="19" t="str">
        <f>'[1]Table by district'!B240</f>
        <v>ចំនួនទីតាំងផ្សារខ្នាតតូច(ផ្សារលក់តែមួយព្រឹកឬល្ងាច)</v>
      </c>
      <c r="C102" s="20"/>
      <c r="D102" s="21">
        <f>'[1]Table by district'!D240</f>
        <v>22</v>
      </c>
      <c r="E102" s="21">
        <f>'[1]Table by district'!E240</f>
        <v>4</v>
      </c>
      <c r="F102" s="21">
        <f>'[1]Table by district'!F240</f>
        <v>7</v>
      </c>
      <c r="G102" s="21">
        <f>'[1]Table by district'!G240</f>
        <v>3</v>
      </c>
      <c r="H102" s="21">
        <f>'[1]Table by district'!H240</f>
        <v>1</v>
      </c>
      <c r="I102" s="21">
        <f>'[1]Table by district'!I240</f>
        <v>1</v>
      </c>
      <c r="J102" s="21">
        <f>'[1]Table by district'!J240</f>
        <v>6</v>
      </c>
      <c r="K102" s="21">
        <f>'[1]Table by district'!K240</f>
        <v>0</v>
      </c>
    </row>
    <row r="103" spans="1:11" ht="24" customHeight="1" x14ac:dyDescent="0.25">
      <c r="A103" s="14">
        <v>4</v>
      </c>
      <c r="B103" s="19" t="str">
        <f>'[1]Table by district'!B241</f>
        <v>ចំនួនទីតាំងផ្សាររាត្រី(ផ្សារលក់តែពេលយប់)</v>
      </c>
      <c r="C103" s="20"/>
      <c r="D103" s="21">
        <f>'[1]Table by district'!D241</f>
        <v>0</v>
      </c>
      <c r="E103" s="21">
        <f>'[1]Table by district'!E241</f>
        <v>0</v>
      </c>
      <c r="F103" s="21">
        <f>'[1]Table by district'!F241</f>
        <v>0</v>
      </c>
      <c r="G103" s="21">
        <f>'[1]Table by district'!G241</f>
        <v>0</v>
      </c>
      <c r="H103" s="21">
        <f>'[1]Table by district'!H241</f>
        <v>0</v>
      </c>
      <c r="I103" s="21">
        <f>'[1]Table by district'!I241</f>
        <v>0</v>
      </c>
      <c r="J103" s="21">
        <f>'[1]Table by district'!J241</f>
        <v>0</v>
      </c>
      <c r="K103" s="21">
        <f>'[1]Table by district'!K241</f>
        <v>0</v>
      </c>
    </row>
    <row r="104" spans="1:11" ht="24" customHeight="1" x14ac:dyDescent="0.25">
      <c r="A104" s="14">
        <v>5</v>
      </c>
      <c r="B104" s="40" t="s">
        <v>68</v>
      </c>
      <c r="C104" s="20"/>
      <c r="D104" s="42">
        <f>SUM(D100:D103)</f>
        <v>35</v>
      </c>
      <c r="E104" s="42">
        <f t="shared" ref="E104:K104" si="20">SUM(E100:E103)</f>
        <v>6</v>
      </c>
      <c r="F104" s="42">
        <f t="shared" si="20"/>
        <v>8</v>
      </c>
      <c r="G104" s="42">
        <f t="shared" si="20"/>
        <v>6</v>
      </c>
      <c r="H104" s="42">
        <f t="shared" si="20"/>
        <v>3</v>
      </c>
      <c r="I104" s="42">
        <f t="shared" si="20"/>
        <v>5</v>
      </c>
      <c r="J104" s="42">
        <f t="shared" si="20"/>
        <v>7</v>
      </c>
      <c r="K104" s="42">
        <f t="shared" si="20"/>
        <v>0</v>
      </c>
    </row>
    <row r="105" spans="1:11" ht="24" customHeight="1" x14ac:dyDescent="0.25">
      <c r="A105" s="18">
        <v>6</v>
      </c>
      <c r="B105" s="19" t="s">
        <v>69</v>
      </c>
      <c r="C105" s="20"/>
      <c r="D105" s="21">
        <f>SUM('[1]Table by district'!D242,'[1]Table by district'!D245,'[1]Table by district'!D248,'[1]Table by district'!D251,'[1]Table by district'!D254,'[1]Table by district'!D257,'[1]Table by district'!D260)</f>
        <v>3391</v>
      </c>
      <c r="E105" s="21">
        <f>SUM('[1]Table by district'!E242,'[1]Table by district'!E245,'[1]Table by district'!E248,'[1]Table by district'!E251,'[1]Table by district'!E254,'[1]Table by district'!E257,'[1]Table by district'!E260)</f>
        <v>557</v>
      </c>
      <c r="F105" s="21">
        <f>SUM('[1]Table by district'!F242,'[1]Table by district'!F245,'[1]Table by district'!F248,'[1]Table by district'!F251,'[1]Table by district'!F254,'[1]Table by district'!F257,'[1]Table by district'!F260)</f>
        <v>478</v>
      </c>
      <c r="G105" s="21">
        <f>SUM('[1]Table by district'!G242,'[1]Table by district'!G245,'[1]Table by district'!G248,'[1]Table by district'!G251,'[1]Table by district'!G254,'[1]Table by district'!G257,'[1]Table by district'!G260)</f>
        <v>528</v>
      </c>
      <c r="H105" s="21">
        <f>SUM('[1]Table by district'!H242,'[1]Table by district'!H245,'[1]Table by district'!H248,'[1]Table by district'!H251,'[1]Table by district'!H254,'[1]Table by district'!H257,'[1]Table by district'!H260)</f>
        <v>297</v>
      </c>
      <c r="I105" s="21">
        <f>SUM('[1]Table by district'!I242,'[1]Table by district'!I245,'[1]Table by district'!I248,'[1]Table by district'!I251,'[1]Table by district'!I254,'[1]Table by district'!I257,'[1]Table by district'!I260)</f>
        <v>865</v>
      </c>
      <c r="J105" s="21">
        <f>SUM('[1]Table by district'!J242,'[1]Table by district'!J245,'[1]Table by district'!J248,'[1]Table by district'!J251,'[1]Table by district'!J254,'[1]Table by district'!J257,'[1]Table by district'!J260)</f>
        <v>424</v>
      </c>
      <c r="K105" s="21">
        <f>SUM('[1]Table by district'!K242,'[1]Table by district'!K245,'[1]Table by district'!K248,'[1]Table by district'!K251,'[1]Table by district'!K254,'[1]Table by district'!K257,'[1]Table by district'!K260)</f>
        <v>242</v>
      </c>
    </row>
    <row r="106" spans="1:11" ht="24" customHeight="1" x14ac:dyDescent="0.25">
      <c r="A106" s="18">
        <v>7</v>
      </c>
      <c r="B106" s="19" t="s">
        <v>70</v>
      </c>
      <c r="C106" s="20"/>
      <c r="D106" s="21">
        <f>SUM('[1]Table by district'!D243,'[1]Table by district'!D246,'[1]Table by district'!D249,'[1]Table by district'!D252,'[1]Table by district'!D255,'[1]Table by district'!D258,'[1]Table by district'!D261)</f>
        <v>5578</v>
      </c>
      <c r="E106" s="21">
        <f>SUM('[1]Table by district'!E243,'[1]Table by district'!E246,'[1]Table by district'!E249,'[1]Table by district'!E252,'[1]Table by district'!E255,'[1]Table by district'!E258,'[1]Table by district'!E261)</f>
        <v>902</v>
      </c>
      <c r="F106" s="21">
        <f>SUM('[1]Table by district'!F243,'[1]Table by district'!F246,'[1]Table by district'!F249,'[1]Table by district'!F252,'[1]Table by district'!F255,'[1]Table by district'!F258,'[1]Table by district'!F261)</f>
        <v>806</v>
      </c>
      <c r="G106" s="21">
        <f>SUM('[1]Table by district'!G243,'[1]Table by district'!G246,'[1]Table by district'!G249,'[1]Table by district'!G252,'[1]Table by district'!G255,'[1]Table by district'!G258,'[1]Table by district'!G261)</f>
        <v>935</v>
      </c>
      <c r="H106" s="21">
        <f>SUM('[1]Table by district'!H243,'[1]Table by district'!H246,'[1]Table by district'!H249,'[1]Table by district'!H252,'[1]Table by district'!H255,'[1]Table by district'!H258,'[1]Table by district'!H261)</f>
        <v>482</v>
      </c>
      <c r="I106" s="21">
        <f>SUM('[1]Table by district'!I243,'[1]Table by district'!I246,'[1]Table by district'!I249,'[1]Table by district'!I252,'[1]Table by district'!I255,'[1]Table by district'!I258,'[1]Table by district'!I261)</f>
        <v>1255</v>
      </c>
      <c r="J106" s="21">
        <f>SUM('[1]Table by district'!J243,'[1]Table by district'!J246,'[1]Table by district'!J249,'[1]Table by district'!J252,'[1]Table by district'!J255,'[1]Table by district'!J258,'[1]Table by district'!J261)</f>
        <v>779</v>
      </c>
      <c r="K106" s="21">
        <f>SUM('[1]Table by district'!K243,'[1]Table by district'!K246,'[1]Table by district'!K249,'[1]Table by district'!K252,'[1]Table by district'!K255,'[1]Table by district'!K258,'[1]Table by district'!K261)</f>
        <v>419</v>
      </c>
    </row>
    <row r="107" spans="1:11" ht="24" customHeight="1" x14ac:dyDescent="0.25">
      <c r="A107" s="14">
        <v>8</v>
      </c>
      <c r="B107" s="19" t="s">
        <v>71</v>
      </c>
      <c r="C107" s="20"/>
      <c r="D107" s="21">
        <f>SUM('[1]Table by district'!D244,'[1]Table by district'!D247,'[1]Table by district'!D250,'[1]Table by district'!D253,'[1]Table by district'!D256,'[1]Table by district'!D259,'[1]Table by district'!D262)</f>
        <v>3535</v>
      </c>
      <c r="E107" s="21">
        <f>SUM('[1]Table by district'!E244,'[1]Table by district'!E247,'[1]Table by district'!E250,'[1]Table by district'!E253,'[1]Table by district'!E256,'[1]Table by district'!E259,'[1]Table by district'!E262)</f>
        <v>590</v>
      </c>
      <c r="F107" s="21">
        <f>SUM('[1]Table by district'!F244,'[1]Table by district'!F247,'[1]Table by district'!F250,'[1]Table by district'!F253,'[1]Table by district'!F256,'[1]Table by district'!F259,'[1]Table by district'!F262)</f>
        <v>489</v>
      </c>
      <c r="G107" s="21">
        <f>SUM('[1]Table by district'!G244,'[1]Table by district'!G247,'[1]Table by district'!G250,'[1]Table by district'!G253,'[1]Table by district'!G256,'[1]Table by district'!G259,'[1]Table by district'!G262)</f>
        <v>598</v>
      </c>
      <c r="H107" s="21">
        <f>SUM('[1]Table by district'!H244,'[1]Table by district'!H247,'[1]Table by district'!H250,'[1]Table by district'!H253,'[1]Table by district'!H256,'[1]Table by district'!H259,'[1]Table by district'!H262)</f>
        <v>298</v>
      </c>
      <c r="I107" s="21">
        <f>SUM('[1]Table by district'!I244,'[1]Table by district'!I247,'[1]Table by district'!I250,'[1]Table by district'!I253,'[1]Table by district'!I256,'[1]Table by district'!I259,'[1]Table by district'!I262)</f>
        <v>863</v>
      </c>
      <c r="J107" s="21">
        <f>SUM('[1]Table by district'!J244,'[1]Table by district'!J247,'[1]Table by district'!J250,'[1]Table by district'!J253,'[1]Table by district'!J256,'[1]Table by district'!J259,'[1]Table by district'!J262)</f>
        <v>426</v>
      </c>
      <c r="K107" s="21">
        <f>SUM('[1]Table by district'!K244,'[1]Table by district'!K247,'[1]Table by district'!K250,'[1]Table by district'!K253,'[1]Table by district'!K256,'[1]Table by district'!K259,'[1]Table by district'!K262)</f>
        <v>271</v>
      </c>
    </row>
    <row r="108" spans="1:11" ht="24" customHeight="1" x14ac:dyDescent="0.25">
      <c r="A108" s="14">
        <v>9</v>
      </c>
      <c r="B108" s="19" t="s">
        <v>72</v>
      </c>
      <c r="C108" s="20"/>
      <c r="D108" s="21">
        <f>SUM('[1]Table by district'!D263,'[1]Table by district'!D266,'[1]Table by district'!D269)</f>
        <v>1228</v>
      </c>
      <c r="E108" s="21">
        <f>SUM('[1]Table by district'!E263,'[1]Table by district'!E266,'[1]Table by district'!E269)</f>
        <v>209</v>
      </c>
      <c r="F108" s="21">
        <f>SUM('[1]Table by district'!F263,'[1]Table by district'!F266,'[1]Table by district'!F269)</f>
        <v>143</v>
      </c>
      <c r="G108" s="21">
        <f>SUM('[1]Table by district'!G263,'[1]Table by district'!G266,'[1]Table by district'!G269)</f>
        <v>146</v>
      </c>
      <c r="H108" s="21">
        <f>SUM('[1]Table by district'!H263,'[1]Table by district'!H266,'[1]Table by district'!H269)</f>
        <v>150</v>
      </c>
      <c r="I108" s="21">
        <f>SUM('[1]Table by district'!I263,'[1]Table by district'!I266,'[1]Table by district'!I269)</f>
        <v>307</v>
      </c>
      <c r="J108" s="21">
        <f>SUM('[1]Table by district'!J263,'[1]Table by district'!J266,'[1]Table by district'!J269)</f>
        <v>177</v>
      </c>
      <c r="K108" s="21">
        <f>SUM('[1]Table by district'!K263,'[1]Table by district'!K266,'[1]Table by district'!K269)</f>
        <v>96</v>
      </c>
    </row>
    <row r="109" spans="1:11" ht="24" customHeight="1" x14ac:dyDescent="0.25">
      <c r="A109" s="18">
        <v>10</v>
      </c>
      <c r="B109" s="19" t="s">
        <v>73</v>
      </c>
      <c r="C109" s="20"/>
      <c r="D109" s="21">
        <f>SUM('[1]Table by district'!D264,'[1]Table by district'!D267,'[1]Table by district'!D270)</f>
        <v>2065</v>
      </c>
      <c r="E109" s="21">
        <f>SUM('[1]Table by district'!E264,'[1]Table by district'!E267,'[1]Table by district'!E270)</f>
        <v>335</v>
      </c>
      <c r="F109" s="21">
        <f>SUM('[1]Table by district'!F264,'[1]Table by district'!F267,'[1]Table by district'!F270)</f>
        <v>242</v>
      </c>
      <c r="G109" s="21">
        <f>SUM('[1]Table by district'!G264,'[1]Table by district'!G267,'[1]Table by district'!G270)</f>
        <v>245</v>
      </c>
      <c r="H109" s="21">
        <f>SUM('[1]Table by district'!H264,'[1]Table by district'!H267,'[1]Table by district'!H270)</f>
        <v>239</v>
      </c>
      <c r="I109" s="21">
        <f>SUM('[1]Table by district'!I264,'[1]Table by district'!I267,'[1]Table by district'!I270)</f>
        <v>491</v>
      </c>
      <c r="J109" s="21">
        <f>SUM('[1]Table by district'!J264,'[1]Table by district'!J267,'[1]Table by district'!J270)</f>
        <v>389</v>
      </c>
      <c r="K109" s="21">
        <f>SUM('[1]Table by district'!K264,'[1]Table by district'!K267,'[1]Table by district'!K270)</f>
        <v>124</v>
      </c>
    </row>
    <row r="110" spans="1:11" ht="24" customHeight="1" x14ac:dyDescent="0.25">
      <c r="A110" s="18">
        <v>11</v>
      </c>
      <c r="B110" s="19" t="s">
        <v>74</v>
      </c>
      <c r="C110" s="20"/>
      <c r="D110" s="21">
        <f>SUM('[1]Table by district'!D265,'[1]Table by district'!D268,'[1]Table by district'!D271)</f>
        <v>1210</v>
      </c>
      <c r="E110" s="21">
        <f>SUM('[1]Table by district'!E265,'[1]Table by district'!E268,'[1]Table by district'!E271)</f>
        <v>193</v>
      </c>
      <c r="F110" s="21">
        <f>SUM('[1]Table by district'!F265,'[1]Table by district'!F268,'[1]Table by district'!F271)</f>
        <v>128</v>
      </c>
      <c r="G110" s="21">
        <f>SUM('[1]Table by district'!G265,'[1]Table by district'!G268,'[1]Table by district'!G271)</f>
        <v>142</v>
      </c>
      <c r="H110" s="21">
        <f>SUM('[1]Table by district'!H265,'[1]Table by district'!H268,'[1]Table by district'!H271)</f>
        <v>138</v>
      </c>
      <c r="I110" s="21">
        <f>SUM('[1]Table by district'!I265,'[1]Table by district'!I268,'[1]Table by district'!I271)</f>
        <v>267</v>
      </c>
      <c r="J110" s="21">
        <f>SUM('[1]Table by district'!J265,'[1]Table by district'!J268,'[1]Table by district'!J271)</f>
        <v>270</v>
      </c>
      <c r="K110" s="21">
        <f>SUM('[1]Table by district'!K265,'[1]Table by district'!K268,'[1]Table by district'!K271)</f>
        <v>72</v>
      </c>
    </row>
    <row r="111" spans="1:11" ht="24" customHeight="1" x14ac:dyDescent="0.25">
      <c r="A111" s="14">
        <v>12</v>
      </c>
      <c r="B111" s="19" t="s">
        <v>75</v>
      </c>
      <c r="C111" s="20"/>
      <c r="D111" s="21">
        <f>SUM('[1]Table by district'!D272,'[1]Table by district'!D275,'[1]Table by district'!D278)</f>
        <v>905</v>
      </c>
      <c r="E111" s="21">
        <f>SUM('[1]Table by district'!E272,'[1]Table by district'!E275,'[1]Table by district'!E278)</f>
        <v>139</v>
      </c>
      <c r="F111" s="21">
        <f>SUM('[1]Table by district'!F272,'[1]Table by district'!F275,'[1]Table by district'!F278)</f>
        <v>149</v>
      </c>
      <c r="G111" s="21">
        <f>SUM('[1]Table by district'!G272,'[1]Table by district'!G275,'[1]Table by district'!G278)</f>
        <v>145</v>
      </c>
      <c r="H111" s="21">
        <f>SUM('[1]Table by district'!H272,'[1]Table by district'!H275,'[1]Table by district'!H278)</f>
        <v>67</v>
      </c>
      <c r="I111" s="21">
        <f>SUM('[1]Table by district'!I272,'[1]Table by district'!I275,'[1]Table by district'!I278)</f>
        <v>265</v>
      </c>
      <c r="J111" s="21">
        <f>SUM('[1]Table by district'!J272,'[1]Table by district'!J275,'[1]Table by district'!J278)</f>
        <v>96</v>
      </c>
      <c r="K111" s="21">
        <f>SUM('[1]Table by district'!K272,'[1]Table by district'!K275,'[1]Table by district'!K278)</f>
        <v>44</v>
      </c>
    </row>
    <row r="112" spans="1:11" ht="24" customHeight="1" x14ac:dyDescent="0.25">
      <c r="A112" s="14">
        <v>13</v>
      </c>
      <c r="B112" s="19" t="s">
        <v>76</v>
      </c>
      <c r="C112" s="20"/>
      <c r="D112" s="21">
        <f>SUM('[1]Table by district'!D273,'[1]Table by district'!D276,'[1]Table by district'!D279)</f>
        <v>1305</v>
      </c>
      <c r="E112" s="21">
        <f>SUM('[1]Table by district'!E273,'[1]Table by district'!E276,'[1]Table by district'!E279)</f>
        <v>190</v>
      </c>
      <c r="F112" s="21">
        <f>SUM('[1]Table by district'!F273,'[1]Table by district'!F276,'[1]Table by district'!F279)</f>
        <v>204</v>
      </c>
      <c r="G112" s="21">
        <f>SUM('[1]Table by district'!G273,'[1]Table by district'!G276,'[1]Table by district'!G279)</f>
        <v>197</v>
      </c>
      <c r="H112" s="21">
        <f>SUM('[1]Table by district'!H273,'[1]Table by district'!H276,'[1]Table by district'!H279)</f>
        <v>95</v>
      </c>
      <c r="I112" s="21">
        <f>SUM('[1]Table by district'!I273,'[1]Table by district'!I276,'[1]Table by district'!I279)</f>
        <v>394</v>
      </c>
      <c r="J112" s="21">
        <f>SUM('[1]Table by district'!J273,'[1]Table by district'!J276,'[1]Table by district'!J279)</f>
        <v>156</v>
      </c>
      <c r="K112" s="21">
        <f>SUM('[1]Table by district'!K273,'[1]Table by district'!K276,'[1]Table by district'!K279)</f>
        <v>69</v>
      </c>
    </row>
    <row r="113" spans="1:11" ht="24" customHeight="1" x14ac:dyDescent="0.25">
      <c r="A113" s="18">
        <v>14</v>
      </c>
      <c r="B113" s="19" t="s">
        <v>77</v>
      </c>
      <c r="C113" s="20"/>
      <c r="D113" s="21">
        <f>SUM('[1]Table by district'!D274,'[1]Table by district'!D277,'[1]Table by district'!D280)</f>
        <v>325</v>
      </c>
      <c r="E113" s="21">
        <f>SUM('[1]Table by district'!E274,'[1]Table by district'!E277,'[1]Table by district'!E280)</f>
        <v>32</v>
      </c>
      <c r="F113" s="21">
        <f>SUM('[1]Table by district'!F274,'[1]Table by district'!F277,'[1]Table by district'!F280)</f>
        <v>51</v>
      </c>
      <c r="G113" s="21">
        <f>SUM('[1]Table by district'!G274,'[1]Table by district'!G277,'[1]Table by district'!G280)</f>
        <v>58</v>
      </c>
      <c r="H113" s="21">
        <f>SUM('[1]Table by district'!H274,'[1]Table by district'!H277,'[1]Table by district'!H280)</f>
        <v>21</v>
      </c>
      <c r="I113" s="21">
        <f>SUM('[1]Table by district'!I274,'[1]Table by district'!I277,'[1]Table by district'!I280)</f>
        <v>80</v>
      </c>
      <c r="J113" s="21">
        <f>SUM('[1]Table by district'!J274,'[1]Table by district'!J277,'[1]Table by district'!J280)</f>
        <v>68</v>
      </c>
      <c r="K113" s="21">
        <f>SUM('[1]Table by district'!K274,'[1]Table by district'!K277,'[1]Table by district'!K280)</f>
        <v>15</v>
      </c>
    </row>
    <row r="114" spans="1:11" ht="24" customHeight="1" x14ac:dyDescent="0.25">
      <c r="A114" s="18">
        <v>15</v>
      </c>
      <c r="B114" s="19" t="s">
        <v>78</v>
      </c>
      <c r="C114" s="20"/>
      <c r="D114" s="21">
        <f>SUM('[1]Table by district'!D281,'[1]Table by district'!D284)</f>
        <v>221</v>
      </c>
      <c r="E114" s="21">
        <f>SUM('[1]Table by district'!E281,'[1]Table by district'!E284)</f>
        <v>62</v>
      </c>
      <c r="F114" s="21">
        <f>SUM('[1]Table by district'!F281,'[1]Table by district'!F284)</f>
        <v>22</v>
      </c>
      <c r="G114" s="21">
        <f>SUM('[1]Table by district'!G281,'[1]Table by district'!G284)</f>
        <v>31</v>
      </c>
      <c r="H114" s="21">
        <f>SUM('[1]Table by district'!H281,'[1]Table by district'!H284)</f>
        <v>16</v>
      </c>
      <c r="I114" s="21">
        <f>SUM('[1]Table by district'!I281,'[1]Table by district'!I284)</f>
        <v>50</v>
      </c>
      <c r="J114" s="21">
        <f>SUM('[1]Table by district'!J281,'[1]Table by district'!J284)</f>
        <v>34</v>
      </c>
      <c r="K114" s="21">
        <f>SUM('[1]Table by district'!K281,'[1]Table by district'!K284)</f>
        <v>6</v>
      </c>
    </row>
    <row r="115" spans="1:11" ht="24" customHeight="1" x14ac:dyDescent="0.25">
      <c r="A115" s="14">
        <v>16</v>
      </c>
      <c r="B115" s="19" t="s">
        <v>79</v>
      </c>
      <c r="C115" s="20"/>
      <c r="D115" s="21">
        <f>SUM('[1]Table by district'!D282,'[1]Table by district'!D285)</f>
        <v>411</v>
      </c>
      <c r="E115" s="21">
        <f>SUM('[1]Table by district'!E282,'[1]Table by district'!E285)</f>
        <v>117</v>
      </c>
      <c r="F115" s="21">
        <f>SUM('[1]Table by district'!F282,'[1]Table by district'!F285)</f>
        <v>26</v>
      </c>
      <c r="G115" s="21">
        <f>SUM('[1]Table by district'!G282,'[1]Table by district'!G285)</f>
        <v>45</v>
      </c>
      <c r="H115" s="21">
        <f>SUM('[1]Table by district'!H282,'[1]Table by district'!H285)</f>
        <v>30</v>
      </c>
      <c r="I115" s="21">
        <f>SUM('[1]Table by district'!I282,'[1]Table by district'!I285)</f>
        <v>77</v>
      </c>
      <c r="J115" s="21">
        <f>SUM('[1]Table by district'!J282,'[1]Table by district'!J285)</f>
        <v>107</v>
      </c>
      <c r="K115" s="21">
        <f>SUM('[1]Table by district'!K282,'[1]Table by district'!K285)</f>
        <v>9</v>
      </c>
    </row>
    <row r="116" spans="1:11" ht="24" customHeight="1" x14ac:dyDescent="0.25">
      <c r="A116" s="14">
        <v>17</v>
      </c>
      <c r="B116" s="19" t="s">
        <v>80</v>
      </c>
      <c r="C116" s="20"/>
      <c r="D116" s="21">
        <f>SUM('[1]Table by district'!D283,'[1]Table by district'!D286)</f>
        <v>241</v>
      </c>
      <c r="E116" s="21">
        <f>SUM('[1]Table by district'!E283,'[1]Table by district'!E286)</f>
        <v>69</v>
      </c>
      <c r="F116" s="21">
        <f>SUM('[1]Table by district'!F283,'[1]Table by district'!F286)</f>
        <v>15</v>
      </c>
      <c r="G116" s="21">
        <f>SUM('[1]Table by district'!G283,'[1]Table by district'!G286)</f>
        <v>19</v>
      </c>
      <c r="H116" s="21">
        <f>SUM('[1]Table by district'!H283,'[1]Table by district'!H286)</f>
        <v>15</v>
      </c>
      <c r="I116" s="21">
        <f>SUM('[1]Table by district'!I283,'[1]Table by district'!I286)</f>
        <v>50</v>
      </c>
      <c r="J116" s="21">
        <f>SUM('[1]Table by district'!J283,'[1]Table by district'!J286)</f>
        <v>67</v>
      </c>
      <c r="K116" s="21">
        <f>SUM('[1]Table by district'!K283,'[1]Table by district'!K286)</f>
        <v>6</v>
      </c>
    </row>
    <row r="117" spans="1:11" ht="24" customHeight="1" x14ac:dyDescent="0.25">
      <c r="A117" s="18">
        <v>18</v>
      </c>
      <c r="B117" s="19" t="s">
        <v>81</v>
      </c>
      <c r="C117" s="20"/>
      <c r="D117" s="21">
        <f>SUM('[1]Table by district'!D287,'[1]Table by district'!D290)</f>
        <v>115</v>
      </c>
      <c r="E117" s="21">
        <f>SUM('[1]Table by district'!E287,'[1]Table by district'!E290)</f>
        <v>16</v>
      </c>
      <c r="F117" s="21">
        <f>SUM('[1]Table by district'!F287,'[1]Table by district'!F290)</f>
        <v>4</v>
      </c>
      <c r="G117" s="21">
        <f>SUM('[1]Table by district'!G287,'[1]Table by district'!G290)</f>
        <v>0</v>
      </c>
      <c r="H117" s="21">
        <f>SUM('[1]Table by district'!H287,'[1]Table by district'!H290)</f>
        <v>23</v>
      </c>
      <c r="I117" s="21">
        <f>SUM('[1]Table by district'!I287,'[1]Table by district'!I290)</f>
        <v>23</v>
      </c>
      <c r="J117" s="21">
        <f>SUM('[1]Table by district'!J287,'[1]Table by district'!J290)</f>
        <v>47</v>
      </c>
      <c r="K117" s="21">
        <f>SUM('[1]Table by district'!K287,'[1]Table by district'!K290)</f>
        <v>2</v>
      </c>
    </row>
    <row r="118" spans="1:11" ht="24" customHeight="1" x14ac:dyDescent="0.25">
      <c r="A118" s="14">
        <v>19</v>
      </c>
      <c r="B118" s="19" t="s">
        <v>82</v>
      </c>
      <c r="C118" s="20"/>
      <c r="D118" s="21">
        <f>SUM('[1]Table by district'!D288,'[1]Table by district'!D291)</f>
        <v>337</v>
      </c>
      <c r="E118" s="21">
        <f>SUM('[1]Table by district'!E288,'[1]Table by district'!E291)</f>
        <v>37</v>
      </c>
      <c r="F118" s="21">
        <f>SUM('[1]Table by district'!F288,'[1]Table by district'!F291)</f>
        <v>7</v>
      </c>
      <c r="G118" s="21">
        <f>SUM('[1]Table by district'!G288,'[1]Table by district'!G291)</f>
        <v>0</v>
      </c>
      <c r="H118" s="21">
        <f>SUM('[1]Table by district'!H288,'[1]Table by district'!H291)</f>
        <v>69</v>
      </c>
      <c r="I118" s="21">
        <f>SUM('[1]Table by district'!I288,'[1]Table by district'!I291)</f>
        <v>57</v>
      </c>
      <c r="J118" s="21">
        <f>SUM('[1]Table by district'!J288,'[1]Table by district'!J291)</f>
        <v>163</v>
      </c>
      <c r="K118" s="21">
        <f>SUM('[1]Table by district'!K288,'[1]Table by district'!K291)</f>
        <v>4</v>
      </c>
    </row>
    <row r="119" spans="1:11" ht="24" customHeight="1" x14ac:dyDescent="0.25">
      <c r="A119" s="18">
        <v>20</v>
      </c>
      <c r="B119" s="19" t="s">
        <v>83</v>
      </c>
      <c r="C119" s="20"/>
      <c r="D119" s="21">
        <f>SUM('[1]Table by district'!D289,'[1]Table by district'!D292)</f>
        <v>203</v>
      </c>
      <c r="E119" s="21">
        <f>SUM('[1]Table by district'!E289,'[1]Table by district'!E292)</f>
        <v>21</v>
      </c>
      <c r="F119" s="21">
        <f>SUM('[1]Table by district'!F289,'[1]Table by district'!F292)</f>
        <v>3</v>
      </c>
      <c r="G119" s="21">
        <f>SUM('[1]Table by district'!G289,'[1]Table by district'!G292)</f>
        <v>0</v>
      </c>
      <c r="H119" s="21">
        <f>SUM('[1]Table by district'!H289,'[1]Table by district'!H292)</f>
        <v>37</v>
      </c>
      <c r="I119" s="21">
        <f>SUM('[1]Table by district'!I289,'[1]Table by district'!I292)</f>
        <v>43</v>
      </c>
      <c r="J119" s="21">
        <f>SUM('[1]Table by district'!J289,'[1]Table by district'!J292)</f>
        <v>97</v>
      </c>
      <c r="K119" s="21">
        <f>SUM('[1]Table by district'!K289,'[1]Table by district'!K292)</f>
        <v>2</v>
      </c>
    </row>
    <row r="120" spans="1:11" ht="24" customHeight="1" x14ac:dyDescent="0.25">
      <c r="A120" s="18">
        <v>21</v>
      </c>
      <c r="B120" s="40" t="str">
        <f>'[1]Table by district'!B293</f>
        <v>ចំនួនសរុបទីតាំងលក់ទំនិញនិងសេវាកម្មទាំងអស់លើកលែងផ្សារ</v>
      </c>
      <c r="C120" s="20"/>
      <c r="D120" s="21">
        <f>'[1]Table by district'!D293</f>
        <v>5860</v>
      </c>
      <c r="E120" s="21">
        <f>'[1]Table by district'!E293</f>
        <v>983</v>
      </c>
      <c r="F120" s="21">
        <f>'[1]Table by district'!F293</f>
        <v>796</v>
      </c>
      <c r="G120" s="21">
        <f>'[1]Table by district'!G293</f>
        <v>850</v>
      </c>
      <c r="H120" s="21">
        <f>'[1]Table by district'!H293</f>
        <v>553</v>
      </c>
      <c r="I120" s="21">
        <f>'[1]Table by district'!I293</f>
        <v>1510</v>
      </c>
      <c r="J120" s="21">
        <f>'[1]Table by district'!J293</f>
        <v>778</v>
      </c>
      <c r="K120" s="21">
        <f>'[1]Table by district'!K293</f>
        <v>390</v>
      </c>
    </row>
    <row r="121" spans="1:11" ht="24" customHeight="1" x14ac:dyDescent="0.25">
      <c r="A121" s="14">
        <v>22</v>
      </c>
      <c r="B121" s="40" t="str">
        <f>'[1]Table by district'!B294</f>
        <v>ចំនួនសរុបកម្មករធ្វើការនៅតាមទីតាំងលក់ទំនិញនិងសេវាកម្មទាំងអស់លើកលែងផ្សារ</v>
      </c>
      <c r="C121" s="20"/>
      <c r="D121" s="21">
        <f>'[1]Table by district'!D294</f>
        <v>9696</v>
      </c>
      <c r="E121" s="21">
        <f>'[1]Table by district'!E294</f>
        <v>1581</v>
      </c>
      <c r="F121" s="21">
        <f>'[1]Table by district'!F294</f>
        <v>1285</v>
      </c>
      <c r="G121" s="21">
        <f>'[1]Table by district'!G294</f>
        <v>1422</v>
      </c>
      <c r="H121" s="21">
        <f>'[1]Table by district'!H294</f>
        <v>915</v>
      </c>
      <c r="I121" s="21">
        <f>'[1]Table by district'!I294</f>
        <v>2274</v>
      </c>
      <c r="J121" s="21">
        <f>'[1]Table by district'!J294</f>
        <v>1594</v>
      </c>
      <c r="K121" s="21">
        <f>'[1]Table by district'!K294</f>
        <v>625</v>
      </c>
    </row>
    <row r="122" spans="1:11" ht="24" customHeight="1" x14ac:dyDescent="0.25">
      <c r="A122" s="14">
        <v>23</v>
      </c>
      <c r="B122" s="41" t="str">
        <f>'[1]Table by district'!B295</f>
        <v>ចំនួនសរុបកម្មករស្រីធ្វើការនៅតាមទីតាំងលក់ទំនិញនិងសេវាកម្មទាំងអស់លើកលែងផ្សារ</v>
      </c>
      <c r="C122" s="24"/>
      <c r="D122" s="25">
        <f>'[1]Table by district'!D295</f>
        <v>5514</v>
      </c>
      <c r="E122" s="25">
        <f>'[1]Table by district'!E295</f>
        <v>905</v>
      </c>
      <c r="F122" s="25">
        <f>'[1]Table by district'!F295</f>
        <v>686</v>
      </c>
      <c r="G122" s="25">
        <f>'[1]Table by district'!G295</f>
        <v>817</v>
      </c>
      <c r="H122" s="25">
        <f>'[1]Table by district'!H295</f>
        <v>509</v>
      </c>
      <c r="I122" s="25">
        <f>'[1]Table by district'!I295</f>
        <v>1303</v>
      </c>
      <c r="J122" s="25">
        <f>'[1]Table by district'!J295</f>
        <v>928</v>
      </c>
      <c r="K122" s="25">
        <f>'[1]Table by district'!K295</f>
        <v>366</v>
      </c>
    </row>
    <row r="123" spans="1:11" ht="24" customHeight="1" x14ac:dyDescent="0.25">
      <c r="B123" s="37" t="str">
        <f>'[1]Table by district'!A296</f>
        <v>១១. កសិកម្មនិងធនធាន</v>
      </c>
      <c r="C123" s="38"/>
      <c r="D123" s="43"/>
      <c r="E123" s="43"/>
      <c r="F123" s="43"/>
      <c r="G123" s="43"/>
      <c r="H123" s="43"/>
      <c r="I123" s="43"/>
      <c r="J123" s="43"/>
      <c r="K123" s="43"/>
    </row>
    <row r="124" spans="1:11" ht="24" customHeight="1" x14ac:dyDescent="0.25">
      <c r="A124" s="14">
        <v>1</v>
      </c>
      <c r="B124" s="23" t="s">
        <v>84</v>
      </c>
      <c r="C124" s="16"/>
      <c r="D124" s="17">
        <f>SUM('[1]Table by district'!D297:D298,'[1]Table by district'!D307,'[1]Table by district'!D308)</f>
        <v>38714</v>
      </c>
      <c r="E124" s="17">
        <f>SUM('[1]Table by district'!E297:E298,'[1]Table by district'!E307,'[1]Table by district'!E308)</f>
        <v>6186</v>
      </c>
      <c r="F124" s="17">
        <f>SUM('[1]Table by district'!F297:F298,'[1]Table by district'!F307,'[1]Table by district'!F308)</f>
        <v>9389</v>
      </c>
      <c r="G124" s="17">
        <f>SUM('[1]Table by district'!G297:G298,'[1]Table by district'!G307,'[1]Table by district'!G308)</f>
        <v>10608</v>
      </c>
      <c r="H124" s="17">
        <f>SUM('[1]Table by district'!H297:H298,'[1]Table by district'!H307,'[1]Table by district'!H308)</f>
        <v>2973</v>
      </c>
      <c r="I124" s="17">
        <f>SUM('[1]Table by district'!I297:I298,'[1]Table by district'!I307,'[1]Table by district'!I308)</f>
        <v>5685</v>
      </c>
      <c r="J124" s="17">
        <f>SUM('[1]Table by district'!J297:J298,'[1]Table by district'!J307,'[1]Table by district'!J308)</f>
        <v>1770</v>
      </c>
      <c r="K124" s="17">
        <f>SUM('[1]Table by district'!K297:K298,'[1]Table by district'!K307,'[1]Table by district'!K308)</f>
        <v>2103</v>
      </c>
    </row>
    <row r="125" spans="1:11" ht="24" customHeight="1" x14ac:dyDescent="0.25">
      <c r="A125" s="18">
        <v>2</v>
      </c>
      <c r="B125" s="23" t="s">
        <v>85</v>
      </c>
      <c r="C125" s="16"/>
      <c r="D125" s="21">
        <f>SUM('[1]Table by district'!D299,'[1]Table by district'!D301,'[1]Table by district'!D302)</f>
        <v>8655</v>
      </c>
      <c r="E125" s="21">
        <f>SUM('[1]Table by district'!E299,'[1]Table by district'!E301,'[1]Table by district'!E302)</f>
        <v>3204</v>
      </c>
      <c r="F125" s="21">
        <f>SUM('[1]Table by district'!F299,'[1]Table by district'!F301,'[1]Table by district'!F302)</f>
        <v>1458</v>
      </c>
      <c r="G125" s="21">
        <f>SUM('[1]Table by district'!G299,'[1]Table by district'!G301,'[1]Table by district'!G302)</f>
        <v>2315</v>
      </c>
      <c r="H125" s="21">
        <f>SUM('[1]Table by district'!H299,'[1]Table by district'!H301,'[1]Table by district'!H302)</f>
        <v>107</v>
      </c>
      <c r="I125" s="21">
        <f>SUM('[1]Table by district'!I299,'[1]Table by district'!I301,'[1]Table by district'!I302)</f>
        <v>785</v>
      </c>
      <c r="J125" s="21">
        <f>SUM('[1]Table by district'!J299,'[1]Table by district'!J301,'[1]Table by district'!J302)</f>
        <v>665</v>
      </c>
      <c r="K125" s="21">
        <f>SUM('[1]Table by district'!K299,'[1]Table by district'!K301,'[1]Table by district'!K302)</f>
        <v>121</v>
      </c>
    </row>
    <row r="126" spans="1:11" ht="24" customHeight="1" x14ac:dyDescent="0.25">
      <c r="A126" s="18">
        <v>3</v>
      </c>
      <c r="B126" s="23" t="s">
        <v>86</v>
      </c>
      <c r="C126" s="16"/>
      <c r="D126" s="21">
        <f>SUM('[1]Table by district'!D300,'[1]Table by district'!D309:D312)</f>
        <v>125581</v>
      </c>
      <c r="E126" s="21">
        <f>SUM('[1]Table by district'!E300,'[1]Table by district'!E309:E312)</f>
        <v>18816</v>
      </c>
      <c r="F126" s="21">
        <f>SUM('[1]Table by district'!F300,'[1]Table by district'!F309:F312)</f>
        <v>20342</v>
      </c>
      <c r="G126" s="21">
        <f>SUM('[1]Table by district'!G300,'[1]Table by district'!G309:G312)</f>
        <v>25905</v>
      </c>
      <c r="H126" s="21">
        <f>SUM('[1]Table by district'!H300,'[1]Table by district'!H309:H312)</f>
        <v>12685</v>
      </c>
      <c r="I126" s="21">
        <f>SUM('[1]Table by district'!I300,'[1]Table by district'!I309:I312)</f>
        <v>31514</v>
      </c>
      <c r="J126" s="21">
        <f>SUM('[1]Table by district'!J300,'[1]Table by district'!J309:J312)</f>
        <v>3528</v>
      </c>
      <c r="K126" s="21">
        <f>SUM('[1]Table by district'!K300,'[1]Table by district'!K309:K312)</f>
        <v>12791</v>
      </c>
    </row>
    <row r="127" spans="1:11" ht="24" customHeight="1" x14ac:dyDescent="0.25">
      <c r="A127" s="14">
        <v>4</v>
      </c>
      <c r="B127" s="41" t="s">
        <v>87</v>
      </c>
      <c r="C127" s="16"/>
      <c r="D127" s="44">
        <f>SUM(D124:D126)</f>
        <v>172950</v>
      </c>
      <c r="E127" s="44">
        <f t="shared" ref="E127:K127" si="21">SUM(E124:E126)</f>
        <v>28206</v>
      </c>
      <c r="F127" s="44">
        <f t="shared" si="21"/>
        <v>31189</v>
      </c>
      <c r="G127" s="44">
        <f t="shared" si="21"/>
        <v>38828</v>
      </c>
      <c r="H127" s="44">
        <f t="shared" si="21"/>
        <v>15765</v>
      </c>
      <c r="I127" s="44">
        <f t="shared" si="21"/>
        <v>37984</v>
      </c>
      <c r="J127" s="44">
        <f t="shared" si="21"/>
        <v>5963</v>
      </c>
      <c r="K127" s="44">
        <f t="shared" si="21"/>
        <v>15015</v>
      </c>
    </row>
    <row r="128" spans="1:11" ht="24" customHeight="1" x14ac:dyDescent="0.25">
      <c r="A128" s="14">
        <v>5</v>
      </c>
      <c r="B128" s="23" t="s">
        <v>88</v>
      </c>
      <c r="C128" s="20"/>
      <c r="D128" s="45">
        <f>SUM('[1]Table by district'!D303,'[1]Table by district'!D304)</f>
        <v>5.52</v>
      </c>
      <c r="E128" s="45">
        <f>SUM('[1]Table by district'!E303,'[1]Table by district'!E304)</f>
        <v>7.41</v>
      </c>
      <c r="F128" s="45">
        <f>SUM('[1]Table by district'!F303,'[1]Table by district'!F304)</f>
        <v>5.84</v>
      </c>
      <c r="G128" s="45">
        <f>SUM('[1]Table by district'!G303,'[1]Table by district'!G304)</f>
        <v>5.97</v>
      </c>
      <c r="H128" s="45">
        <f>SUM('[1]Table by district'!H303,'[1]Table by district'!H304)</f>
        <v>3.79</v>
      </c>
      <c r="I128" s="45">
        <f>SUM('[1]Table by district'!I303,'[1]Table by district'!I304)</f>
        <v>3.75</v>
      </c>
      <c r="J128" s="45">
        <f>SUM('[1]Table by district'!J303,'[1]Table by district'!J304)</f>
        <v>6.94</v>
      </c>
      <c r="K128" s="45">
        <f>SUM('[1]Table by district'!K303,'[1]Table by district'!K304)</f>
        <v>1.68</v>
      </c>
    </row>
    <row r="129" spans="1:11" ht="24" customHeight="1" x14ac:dyDescent="0.25">
      <c r="A129" s="14">
        <v>6</v>
      </c>
      <c r="B129" s="23" t="s">
        <v>89</v>
      </c>
      <c r="C129" s="20"/>
      <c r="D129" s="21">
        <f>AVERAGE('[1]Table by district'!D305,'[1]Table by district'!D306)</f>
        <v>743.79500000000007</v>
      </c>
      <c r="E129" s="21">
        <f>AVERAGE('[1]Table by district'!E305,'[1]Table by district'!E306)</f>
        <v>706.49</v>
      </c>
      <c r="F129" s="21">
        <f>AVERAGE('[1]Table by district'!F305,'[1]Table by district'!F306)</f>
        <v>750.21500000000003</v>
      </c>
      <c r="G129" s="21">
        <f>AVERAGE('[1]Table by district'!G305,'[1]Table by district'!G306)</f>
        <v>781.17499999999995</v>
      </c>
      <c r="H129" s="21">
        <f>AVERAGE('[1]Table by district'!H305,'[1]Table by district'!H306)</f>
        <v>727.79499999999996</v>
      </c>
      <c r="I129" s="21">
        <f>AVERAGE('[1]Table by district'!I305,'[1]Table by district'!I306)</f>
        <v>716.74</v>
      </c>
      <c r="J129" s="21">
        <f>AVERAGE('[1]Table by district'!J305,'[1]Table by district'!J306)</f>
        <v>845.54</v>
      </c>
      <c r="K129" s="21">
        <f>AVERAGE('[1]Table by district'!K305,'[1]Table by district'!K306)</f>
        <v>678.59999999999991</v>
      </c>
    </row>
    <row r="130" spans="1:11" ht="24" customHeight="1" x14ac:dyDescent="0.25">
      <c r="B130" s="37" t="str">
        <f>'[1]Table by district'!A313</f>
        <v>១២. គ្រឿងយន្តកសិកម្ម</v>
      </c>
      <c r="C130" s="38"/>
      <c r="D130" s="43"/>
      <c r="E130" s="43"/>
      <c r="F130" s="43"/>
      <c r="G130" s="43"/>
      <c r="H130" s="43"/>
      <c r="I130" s="43"/>
      <c r="J130" s="43"/>
      <c r="K130" s="43"/>
    </row>
    <row r="131" spans="1:11" ht="24" customHeight="1" x14ac:dyDescent="0.25">
      <c r="A131" s="14">
        <v>1</v>
      </c>
      <c r="B131" s="15" t="s">
        <v>90</v>
      </c>
      <c r="C131" s="16"/>
      <c r="D131" s="17">
        <f>SUM('[1]Table by district'!D314,'[1]Table by district'!D315)</f>
        <v>20592</v>
      </c>
      <c r="E131" s="17">
        <f>SUM('[1]Table by district'!E314,'[1]Table by district'!E315)</f>
        <v>1983</v>
      </c>
      <c r="F131" s="17">
        <f>SUM('[1]Table by district'!F314,'[1]Table by district'!F315)</f>
        <v>6714</v>
      </c>
      <c r="G131" s="17">
        <f>SUM('[1]Table by district'!G314,'[1]Table by district'!G315)</f>
        <v>2415</v>
      </c>
      <c r="H131" s="17">
        <f>SUM('[1]Table by district'!H314,'[1]Table by district'!H315)</f>
        <v>2162</v>
      </c>
      <c r="I131" s="17">
        <f>SUM('[1]Table by district'!I314,'[1]Table by district'!I315)</f>
        <v>3508</v>
      </c>
      <c r="J131" s="17">
        <f>SUM('[1]Table by district'!J314,'[1]Table by district'!J315)</f>
        <v>469</v>
      </c>
      <c r="K131" s="17">
        <f>SUM('[1]Table by district'!K314,'[1]Table by district'!K315)</f>
        <v>3341</v>
      </c>
    </row>
    <row r="132" spans="1:11" ht="24" customHeight="1" x14ac:dyDescent="0.25">
      <c r="A132" s="18">
        <v>2</v>
      </c>
      <c r="B132" s="19" t="s">
        <v>91</v>
      </c>
      <c r="C132" s="16"/>
      <c r="D132" s="21">
        <f>SUM('[1]Table by district'!D316,'[1]Table by district'!D321,'[1]Table by district'!D323)</f>
        <v>27</v>
      </c>
      <c r="E132" s="21">
        <f>SUM('[1]Table by district'!E316,'[1]Table by district'!E321,'[1]Table by district'!E323)</f>
        <v>0</v>
      </c>
      <c r="F132" s="21">
        <f>SUM('[1]Table by district'!F316,'[1]Table by district'!F321,'[1]Table by district'!F323)</f>
        <v>6</v>
      </c>
      <c r="G132" s="21">
        <f>SUM('[1]Table by district'!G316,'[1]Table by district'!G321,'[1]Table by district'!G323)</f>
        <v>20</v>
      </c>
      <c r="H132" s="21">
        <f>SUM('[1]Table by district'!H316,'[1]Table by district'!H321,'[1]Table by district'!H323)</f>
        <v>0</v>
      </c>
      <c r="I132" s="21">
        <f>SUM('[1]Table by district'!I316,'[1]Table by district'!I321,'[1]Table by district'!I323)</f>
        <v>1</v>
      </c>
      <c r="J132" s="21">
        <f>SUM('[1]Table by district'!J316,'[1]Table by district'!J321,'[1]Table by district'!J323)</f>
        <v>0</v>
      </c>
      <c r="K132" s="21">
        <f>SUM('[1]Table by district'!K316,'[1]Table by district'!K321,'[1]Table by district'!K323)</f>
        <v>0</v>
      </c>
    </row>
    <row r="133" spans="1:11" ht="24" customHeight="1" x14ac:dyDescent="0.25">
      <c r="A133" s="18">
        <v>3</v>
      </c>
      <c r="B133" s="19" t="s">
        <v>92</v>
      </c>
      <c r="C133" s="16"/>
      <c r="D133" s="21">
        <f>SUM('[1]Table by district'!D317:D319,'[1]Table by district'!D322)</f>
        <v>990</v>
      </c>
      <c r="E133" s="21">
        <f>SUM('[1]Table by district'!E317:E319,'[1]Table by district'!E322)</f>
        <v>56</v>
      </c>
      <c r="F133" s="21">
        <f>SUM('[1]Table by district'!F317:F319,'[1]Table by district'!F322)</f>
        <v>233</v>
      </c>
      <c r="G133" s="21">
        <f>SUM('[1]Table by district'!G317:G319,'[1]Table by district'!G322)</f>
        <v>172</v>
      </c>
      <c r="H133" s="21">
        <f>SUM('[1]Table by district'!H317:H319,'[1]Table by district'!H322)</f>
        <v>152</v>
      </c>
      <c r="I133" s="21">
        <f>SUM('[1]Table by district'!I317:I319,'[1]Table by district'!I322)</f>
        <v>174</v>
      </c>
      <c r="J133" s="21">
        <f>SUM('[1]Table by district'!J317:J319,'[1]Table by district'!J322)</f>
        <v>24</v>
      </c>
      <c r="K133" s="21">
        <f>SUM('[1]Table by district'!K317:K319,'[1]Table by district'!K322)</f>
        <v>179</v>
      </c>
    </row>
    <row r="134" spans="1:11" ht="24" customHeight="1" x14ac:dyDescent="0.25">
      <c r="A134" s="14">
        <v>4</v>
      </c>
      <c r="B134" s="19" t="s">
        <v>93</v>
      </c>
      <c r="C134" s="16"/>
      <c r="D134" s="21">
        <f>'[1]Table by district'!D320</f>
        <v>29</v>
      </c>
      <c r="E134" s="21">
        <f>'[1]Table by district'!E320</f>
        <v>0</v>
      </c>
      <c r="F134" s="21">
        <f>'[1]Table by district'!F320</f>
        <v>2</v>
      </c>
      <c r="G134" s="21">
        <f>'[1]Table by district'!G320</f>
        <v>7</v>
      </c>
      <c r="H134" s="21">
        <f>'[1]Table by district'!H320</f>
        <v>2</v>
      </c>
      <c r="I134" s="21">
        <f>'[1]Table by district'!I320</f>
        <v>12</v>
      </c>
      <c r="J134" s="21">
        <f>'[1]Table by district'!J320</f>
        <v>5</v>
      </c>
      <c r="K134" s="21">
        <f>'[1]Table by district'!K320</f>
        <v>1</v>
      </c>
    </row>
    <row r="135" spans="1:11" ht="24" customHeight="1" x14ac:dyDescent="0.25">
      <c r="A135" s="14">
        <v>5</v>
      </c>
      <c r="B135" s="40" t="s">
        <v>94</v>
      </c>
      <c r="C135" s="16"/>
      <c r="D135" s="42">
        <f>SUM(D131:D134)</f>
        <v>21638</v>
      </c>
      <c r="E135" s="42">
        <f t="shared" ref="E135:K135" si="22">SUM(E131:E134)</f>
        <v>2039</v>
      </c>
      <c r="F135" s="42">
        <f t="shared" si="22"/>
        <v>6955</v>
      </c>
      <c r="G135" s="42">
        <f t="shared" si="22"/>
        <v>2614</v>
      </c>
      <c r="H135" s="42">
        <f t="shared" si="22"/>
        <v>2316</v>
      </c>
      <c r="I135" s="42">
        <f t="shared" si="22"/>
        <v>3695</v>
      </c>
      <c r="J135" s="42">
        <f t="shared" si="22"/>
        <v>498</v>
      </c>
      <c r="K135" s="42">
        <f t="shared" si="22"/>
        <v>3521</v>
      </c>
    </row>
    <row r="136" spans="1:11" ht="24" customHeight="1" x14ac:dyDescent="0.25">
      <c r="A136" s="14">
        <v>6</v>
      </c>
      <c r="B136" s="19" t="s">
        <v>95</v>
      </c>
      <c r="C136" s="16"/>
      <c r="D136" s="21">
        <f>SUM('[1]Table by district'!D324,'[1]Table by district'!D325)</f>
        <v>20376</v>
      </c>
      <c r="E136" s="21">
        <f>SUM('[1]Table by district'!E324,'[1]Table by district'!E325)</f>
        <v>1962</v>
      </c>
      <c r="F136" s="21">
        <f>SUM('[1]Table by district'!F324,'[1]Table by district'!F325)</f>
        <v>6613</v>
      </c>
      <c r="G136" s="21">
        <f>SUM('[1]Table by district'!G324,'[1]Table by district'!G325)</f>
        <v>2385</v>
      </c>
      <c r="H136" s="21">
        <f>SUM('[1]Table by district'!H324,'[1]Table by district'!H325)</f>
        <v>2158</v>
      </c>
      <c r="I136" s="21">
        <f>SUM('[1]Table by district'!I324,'[1]Table by district'!I325)</f>
        <v>3472</v>
      </c>
      <c r="J136" s="21">
        <f>SUM('[1]Table by district'!J324,'[1]Table by district'!J325)</f>
        <v>462</v>
      </c>
      <c r="K136" s="21">
        <f>SUM('[1]Table by district'!K324,'[1]Table by district'!K325)</f>
        <v>3324</v>
      </c>
    </row>
    <row r="137" spans="1:11" ht="24" customHeight="1" x14ac:dyDescent="0.25">
      <c r="A137" s="14">
        <v>7</v>
      </c>
      <c r="B137" s="19" t="s">
        <v>96</v>
      </c>
      <c r="C137" s="16"/>
      <c r="D137" s="21">
        <f>SUM('[1]Table by district'!D326,'[1]Table by district'!D331,'[1]Table by district'!D333)</f>
        <v>27</v>
      </c>
      <c r="E137" s="21">
        <f>SUM('[1]Table by district'!E326,'[1]Table by district'!E331,'[1]Table by district'!E333)</f>
        <v>0</v>
      </c>
      <c r="F137" s="21">
        <f>SUM('[1]Table by district'!F326,'[1]Table by district'!F331,'[1]Table by district'!F333)</f>
        <v>6</v>
      </c>
      <c r="G137" s="21">
        <f>SUM('[1]Table by district'!G326,'[1]Table by district'!G331,'[1]Table by district'!G333)</f>
        <v>20</v>
      </c>
      <c r="H137" s="21">
        <f>SUM('[1]Table by district'!H326,'[1]Table by district'!H331,'[1]Table by district'!H333)</f>
        <v>0</v>
      </c>
      <c r="I137" s="21">
        <f>SUM('[1]Table by district'!I326,'[1]Table by district'!I331,'[1]Table by district'!I333)</f>
        <v>1</v>
      </c>
      <c r="J137" s="21">
        <f>SUM('[1]Table by district'!J326,'[1]Table by district'!J331,'[1]Table by district'!J333)</f>
        <v>0</v>
      </c>
      <c r="K137" s="21">
        <f>SUM('[1]Table by district'!K326,'[1]Table by district'!K331,'[1]Table by district'!K333)</f>
        <v>0</v>
      </c>
    </row>
    <row r="138" spans="1:11" ht="24" customHeight="1" x14ac:dyDescent="0.25">
      <c r="A138" s="18">
        <v>8</v>
      </c>
      <c r="B138" s="19" t="s">
        <v>97</v>
      </c>
      <c r="C138" s="16"/>
      <c r="D138" s="21">
        <f>SUM('[1]Table by district'!D327:D329,'[1]Table by district'!D332)</f>
        <v>962</v>
      </c>
      <c r="E138" s="21">
        <f>SUM('[1]Table by district'!E327:E329,'[1]Table by district'!E332)</f>
        <v>55</v>
      </c>
      <c r="F138" s="21">
        <f>SUM('[1]Table by district'!F327:F329,'[1]Table by district'!F332)</f>
        <v>226</v>
      </c>
      <c r="G138" s="21">
        <f>SUM('[1]Table by district'!G327:G329,'[1]Table by district'!G332)</f>
        <v>169</v>
      </c>
      <c r="H138" s="21">
        <f>SUM('[1]Table by district'!H327:H329,'[1]Table by district'!H332)</f>
        <v>150</v>
      </c>
      <c r="I138" s="21">
        <f>SUM('[1]Table by district'!I327:I329,'[1]Table by district'!I332)</f>
        <v>165</v>
      </c>
      <c r="J138" s="21">
        <f>SUM('[1]Table by district'!J327:J329,'[1]Table by district'!J332)</f>
        <v>21</v>
      </c>
      <c r="K138" s="21">
        <f>SUM('[1]Table by district'!K327:K329,'[1]Table by district'!K332)</f>
        <v>176</v>
      </c>
    </row>
    <row r="139" spans="1:11" ht="24" customHeight="1" x14ac:dyDescent="0.25">
      <c r="A139" s="18">
        <v>9</v>
      </c>
      <c r="B139" s="19" t="s">
        <v>98</v>
      </c>
      <c r="C139" s="16"/>
      <c r="D139" s="21">
        <f>'[1]Table by district'!D330</f>
        <v>29</v>
      </c>
      <c r="E139" s="21">
        <f>'[1]Table by district'!E330</f>
        <v>0</v>
      </c>
      <c r="F139" s="21">
        <f>'[1]Table by district'!F330</f>
        <v>2</v>
      </c>
      <c r="G139" s="21">
        <f>'[1]Table by district'!G330</f>
        <v>7</v>
      </c>
      <c r="H139" s="21">
        <f>'[1]Table by district'!H330</f>
        <v>2</v>
      </c>
      <c r="I139" s="21">
        <f>'[1]Table by district'!I330</f>
        <v>12</v>
      </c>
      <c r="J139" s="21">
        <f>'[1]Table by district'!J330</f>
        <v>5</v>
      </c>
      <c r="K139" s="21">
        <f>'[1]Table by district'!K330</f>
        <v>1</v>
      </c>
    </row>
    <row r="140" spans="1:11" ht="24" customHeight="1" x14ac:dyDescent="0.25">
      <c r="A140" s="14">
        <v>10</v>
      </c>
      <c r="B140" s="46" t="s">
        <v>99</v>
      </c>
      <c r="C140" s="47"/>
      <c r="D140" s="48">
        <f>SUM(D136:D139)</f>
        <v>21394</v>
      </c>
      <c r="E140" s="48">
        <f t="shared" ref="E140:K140" si="23">SUM(E136:E139)</f>
        <v>2017</v>
      </c>
      <c r="F140" s="48">
        <f t="shared" si="23"/>
        <v>6847</v>
      </c>
      <c r="G140" s="48">
        <f t="shared" si="23"/>
        <v>2581</v>
      </c>
      <c r="H140" s="48">
        <f t="shared" si="23"/>
        <v>2310</v>
      </c>
      <c r="I140" s="48">
        <f t="shared" si="23"/>
        <v>3650</v>
      </c>
      <c r="J140" s="48">
        <f t="shared" si="23"/>
        <v>488</v>
      </c>
      <c r="K140" s="48">
        <f t="shared" si="23"/>
        <v>3501</v>
      </c>
    </row>
    <row r="141" spans="1:11" ht="24" customHeight="1" x14ac:dyDescent="0.25">
      <c r="B141" s="49" t="str">
        <f>'[1]Table by district'!A334</f>
        <v>១៣. រថយន្ត កង់ ម៉ូតូ</v>
      </c>
      <c r="C141" s="12"/>
      <c r="D141" s="39"/>
      <c r="E141" s="39"/>
      <c r="F141" s="39"/>
      <c r="G141" s="39"/>
      <c r="H141" s="39"/>
      <c r="I141" s="39"/>
      <c r="J141" s="39"/>
      <c r="K141" s="39"/>
    </row>
    <row r="142" spans="1:11" ht="24" customHeight="1" x14ac:dyDescent="0.25">
      <c r="A142" s="14">
        <v>1</v>
      </c>
      <c r="B142" s="5" t="s">
        <v>100</v>
      </c>
      <c r="C142" s="16"/>
      <c r="D142" s="17">
        <f>SUM('[1]Table by district'!D335:D339,'[1]Table by district'!D341)</f>
        <v>3155</v>
      </c>
      <c r="E142" s="17">
        <f>SUM('[1]Table by district'!E335:E339,'[1]Table by district'!E341)</f>
        <v>430</v>
      </c>
      <c r="F142" s="17">
        <f>SUM('[1]Table by district'!F335:F339,'[1]Table by district'!F341)</f>
        <v>369</v>
      </c>
      <c r="G142" s="17">
        <f>SUM('[1]Table by district'!G335:G339,'[1]Table by district'!G341)</f>
        <v>391</v>
      </c>
      <c r="H142" s="17">
        <f>SUM('[1]Table by district'!H335:H339,'[1]Table by district'!H341)</f>
        <v>270</v>
      </c>
      <c r="I142" s="17">
        <f>SUM('[1]Table by district'!I335:I339,'[1]Table by district'!I341)</f>
        <v>984</v>
      </c>
      <c r="J142" s="17">
        <f>SUM('[1]Table by district'!J335:J339,'[1]Table by district'!J341)</f>
        <v>471</v>
      </c>
      <c r="K142" s="17">
        <f>SUM('[1]Table by district'!K335:K339,'[1]Table by district'!K341)</f>
        <v>240</v>
      </c>
    </row>
    <row r="143" spans="1:11" ht="24" customHeight="1" x14ac:dyDescent="0.25">
      <c r="A143" s="18">
        <v>2</v>
      </c>
      <c r="B143" s="5" t="s">
        <v>101</v>
      </c>
      <c r="C143" s="20"/>
      <c r="D143" s="21">
        <f>SUM('[1]Table by district'!D340,'[1]Table by district'!D349:D351)</f>
        <v>130150</v>
      </c>
      <c r="E143" s="21">
        <f>SUM('[1]Table by district'!E340,'[1]Table by district'!E349:E351)</f>
        <v>18921</v>
      </c>
      <c r="F143" s="21">
        <f>SUM('[1]Table by district'!F340,'[1]Table by district'!F349:F351)</f>
        <v>21732</v>
      </c>
      <c r="G143" s="21">
        <f>SUM('[1]Table by district'!G340,'[1]Table by district'!G349:G351)</f>
        <v>24217</v>
      </c>
      <c r="H143" s="21">
        <f>SUM('[1]Table by district'!H340,'[1]Table by district'!H349:H351)</f>
        <v>12770</v>
      </c>
      <c r="I143" s="21">
        <f>SUM('[1]Table by district'!I340,'[1]Table by district'!I349:I351)</f>
        <v>30762</v>
      </c>
      <c r="J143" s="21">
        <f>SUM('[1]Table by district'!J340,'[1]Table by district'!J349:J351)</f>
        <v>12164</v>
      </c>
      <c r="K143" s="21">
        <f>SUM('[1]Table by district'!K340,'[1]Table by district'!K349:K351)</f>
        <v>9584</v>
      </c>
    </row>
    <row r="144" spans="1:11" ht="24" customHeight="1" x14ac:dyDescent="0.25">
      <c r="A144" s="18">
        <v>3</v>
      </c>
      <c r="B144" s="5" t="s">
        <v>102</v>
      </c>
      <c r="C144" s="20"/>
      <c r="D144" s="21">
        <f>SUM('[1]Table by district'!D342:D346,'[1]Table by district'!D348)</f>
        <v>2706</v>
      </c>
      <c r="E144" s="21">
        <f>SUM('[1]Table by district'!E342:E346,'[1]Table by district'!E348)</f>
        <v>410</v>
      </c>
      <c r="F144" s="21">
        <f>SUM('[1]Table by district'!F342:F346,'[1]Table by district'!F348)</f>
        <v>323</v>
      </c>
      <c r="G144" s="21">
        <f>SUM('[1]Table by district'!G342:G346,'[1]Table by district'!G348)</f>
        <v>355</v>
      </c>
      <c r="H144" s="21">
        <f>SUM('[1]Table by district'!H342:H346,'[1]Table by district'!H348)</f>
        <v>259</v>
      </c>
      <c r="I144" s="21">
        <f>SUM('[1]Table by district'!I342:I346,'[1]Table by district'!I348)</f>
        <v>852</v>
      </c>
      <c r="J144" s="21">
        <f>SUM('[1]Table by district'!J342:J346,'[1]Table by district'!J348)</f>
        <v>272</v>
      </c>
      <c r="K144" s="21">
        <f>SUM('[1]Table by district'!K342:K346,'[1]Table by district'!K348)</f>
        <v>235</v>
      </c>
    </row>
    <row r="145" spans="1:11" ht="24" customHeight="1" x14ac:dyDescent="0.25">
      <c r="A145" s="14">
        <v>4</v>
      </c>
      <c r="B145" s="5" t="s">
        <v>103</v>
      </c>
      <c r="C145" s="20"/>
      <c r="D145" s="21">
        <f>SUM('[1]Table by district'!D347,'[1]Table by district'!D352:D354)</f>
        <v>117944</v>
      </c>
      <c r="E145" s="21">
        <f>SUM('[1]Table by district'!E347,'[1]Table by district'!E352:E354)</f>
        <v>17229</v>
      </c>
      <c r="F145" s="21">
        <f>SUM('[1]Table by district'!F347,'[1]Table by district'!F352:F354)</f>
        <v>20339</v>
      </c>
      <c r="G145" s="21">
        <f>SUM('[1]Table by district'!G347,'[1]Table by district'!G352:G354)</f>
        <v>22508</v>
      </c>
      <c r="H145" s="21">
        <f>SUM('[1]Table by district'!H347,'[1]Table by district'!H352:H354)</f>
        <v>11862</v>
      </c>
      <c r="I145" s="21">
        <f>SUM('[1]Table by district'!I347,'[1]Table by district'!I352:I354)</f>
        <v>27016</v>
      </c>
      <c r="J145" s="21">
        <f>SUM('[1]Table by district'!J347,'[1]Table by district'!J352:J354)</f>
        <v>10076</v>
      </c>
      <c r="K145" s="21">
        <f>SUM('[1]Table by district'!K347,'[1]Table by district'!K352:K354)</f>
        <v>8914</v>
      </c>
    </row>
    <row r="146" spans="1:11" ht="24" customHeight="1" x14ac:dyDescent="0.25">
      <c r="B146" s="49" t="str">
        <f>'[1]Table by district'!A355</f>
        <v>១៤. ទូក កាណូត</v>
      </c>
      <c r="C146" s="12"/>
      <c r="D146" s="39"/>
      <c r="E146" s="39"/>
      <c r="F146" s="39"/>
      <c r="G146" s="39"/>
      <c r="H146" s="39"/>
      <c r="I146" s="39"/>
      <c r="J146" s="39"/>
      <c r="K146" s="39"/>
    </row>
    <row r="147" spans="1:11" ht="24" customHeight="1" x14ac:dyDescent="0.25">
      <c r="A147" s="14">
        <v>1</v>
      </c>
      <c r="B147" s="5" t="s">
        <v>104</v>
      </c>
      <c r="C147" s="16"/>
      <c r="D147" s="17">
        <f>SUM('[1]Table by district'!D356:D357)</f>
        <v>4193</v>
      </c>
      <c r="E147" s="17">
        <f>SUM('[1]Table by district'!E356:E357)</f>
        <v>487</v>
      </c>
      <c r="F147" s="17">
        <f>SUM('[1]Table by district'!F356:F357)</f>
        <v>1228</v>
      </c>
      <c r="G147" s="17">
        <f>SUM('[1]Table by district'!G356:G357)</f>
        <v>1740</v>
      </c>
      <c r="H147" s="17">
        <f>SUM('[1]Table by district'!H356:H357)</f>
        <v>110</v>
      </c>
      <c r="I147" s="17">
        <f>SUM('[1]Table by district'!I356:I357)</f>
        <v>55</v>
      </c>
      <c r="J147" s="17">
        <f>SUM('[1]Table by district'!J356:J357)</f>
        <v>191</v>
      </c>
      <c r="K147" s="17">
        <f>SUM('[1]Table by district'!K356:K357)</f>
        <v>382</v>
      </c>
    </row>
    <row r="148" spans="1:11" ht="24" customHeight="1" x14ac:dyDescent="0.25">
      <c r="A148" s="18">
        <v>2</v>
      </c>
      <c r="B148" s="5" t="s">
        <v>105</v>
      </c>
      <c r="C148" s="20"/>
      <c r="D148" s="21">
        <f>SUM('[1]Table by district'!D358:D361)</f>
        <v>2800</v>
      </c>
      <c r="E148" s="21">
        <f>SUM('[1]Table by district'!E358:E361)</f>
        <v>221</v>
      </c>
      <c r="F148" s="21">
        <f>SUM('[1]Table by district'!F358:F361)</f>
        <v>306</v>
      </c>
      <c r="G148" s="21">
        <f>SUM('[1]Table by district'!G358:G361)</f>
        <v>241</v>
      </c>
      <c r="H148" s="21">
        <f>SUM('[1]Table by district'!H358:H361)</f>
        <v>1530</v>
      </c>
      <c r="I148" s="21">
        <f>SUM('[1]Table by district'!I358:I361)</f>
        <v>1</v>
      </c>
      <c r="J148" s="21">
        <f>SUM('[1]Table by district'!J358:J361)</f>
        <v>85</v>
      </c>
      <c r="K148" s="21">
        <f>SUM('[1]Table by district'!K358:K361)</f>
        <v>416</v>
      </c>
    </row>
    <row r="149" spans="1:11" ht="24" customHeight="1" x14ac:dyDescent="0.25">
      <c r="A149" s="18">
        <v>3</v>
      </c>
      <c r="B149" s="5" t="s">
        <v>106</v>
      </c>
      <c r="C149" s="20"/>
      <c r="D149" s="21">
        <f>SUM('[1]Table by district'!D362:D363)</f>
        <v>3959</v>
      </c>
      <c r="E149" s="21">
        <f>SUM('[1]Table by district'!E362:E363)</f>
        <v>478</v>
      </c>
      <c r="F149" s="21">
        <f>SUM('[1]Table by district'!F362:F363)</f>
        <v>1212</v>
      </c>
      <c r="G149" s="21">
        <f>SUM('[1]Table by district'!G362:G363)</f>
        <v>1724</v>
      </c>
      <c r="H149" s="21">
        <f>SUM('[1]Table by district'!H362:H363)</f>
        <v>110</v>
      </c>
      <c r="I149" s="21">
        <f>SUM('[1]Table by district'!I362:I363)</f>
        <v>55</v>
      </c>
      <c r="J149" s="21">
        <f>SUM('[1]Table by district'!J362:J363)</f>
        <v>171</v>
      </c>
      <c r="K149" s="21">
        <f>SUM('[1]Table by district'!K362:K363)</f>
        <v>209</v>
      </c>
    </row>
    <row r="150" spans="1:11" ht="24" customHeight="1" x14ac:dyDescent="0.25">
      <c r="A150" s="14">
        <v>4</v>
      </c>
      <c r="B150" s="5" t="s">
        <v>107</v>
      </c>
      <c r="C150" s="50"/>
      <c r="D150" s="21">
        <f>SUM('[1]Table by district'!D364:D367)</f>
        <v>2537</v>
      </c>
      <c r="E150" s="21">
        <f>SUM('[1]Table by district'!E364:E367)</f>
        <v>219</v>
      </c>
      <c r="F150" s="21">
        <f>SUM('[1]Table by district'!F364:F367)</f>
        <v>306</v>
      </c>
      <c r="G150" s="21">
        <f>SUM('[1]Table by district'!G364:G367)</f>
        <v>241</v>
      </c>
      <c r="H150" s="21">
        <f>SUM('[1]Table by district'!H364:H367)</f>
        <v>1269</v>
      </c>
      <c r="I150" s="21">
        <f>SUM('[1]Table by district'!I364:I367)</f>
        <v>1</v>
      </c>
      <c r="J150" s="21">
        <f>SUM('[1]Table by district'!J364:J367)</f>
        <v>85</v>
      </c>
      <c r="K150" s="21">
        <f>SUM('[1]Table by district'!K364:K367)</f>
        <v>416</v>
      </c>
    </row>
    <row r="151" spans="1:11" ht="24" customHeight="1" x14ac:dyDescent="0.25">
      <c r="A151" s="14">
        <v>5</v>
      </c>
      <c r="B151" s="51" t="s">
        <v>108</v>
      </c>
      <c r="C151" s="47"/>
      <c r="D151" s="52">
        <f>'[1]Table by district'!D368</f>
        <v>9.35</v>
      </c>
      <c r="E151" s="52">
        <f>'[1]Table by district'!E368</f>
        <v>6.97</v>
      </c>
      <c r="F151" s="52">
        <f>'[1]Table by district'!F368</f>
        <v>5.82</v>
      </c>
      <c r="G151" s="52">
        <f>'[1]Table by district'!G368</f>
        <v>8.5</v>
      </c>
      <c r="H151" s="52">
        <f>'[1]Table by district'!H368</f>
        <v>7.82</v>
      </c>
      <c r="I151" s="52">
        <f>'[1]Table by district'!I368</f>
        <v>9.86</v>
      </c>
      <c r="J151" s="52">
        <f>'[1]Table by district'!J368</f>
        <v>1.63</v>
      </c>
      <c r="K151" s="52">
        <f>'[1]Table by district'!K368</f>
        <v>24.84</v>
      </c>
    </row>
    <row r="152" spans="1:11" ht="24" customHeight="1" x14ac:dyDescent="0.25">
      <c r="A152" s="18">
        <v>6</v>
      </c>
      <c r="B152" s="51" t="s">
        <v>109</v>
      </c>
      <c r="C152" s="47"/>
      <c r="D152" s="52">
        <f>'[1]Table by district'!D369</f>
        <v>22.66</v>
      </c>
      <c r="E152" s="52">
        <f>'[1]Table by district'!E369</f>
        <v>17.91</v>
      </c>
      <c r="F152" s="52">
        <f>'[1]Table by district'!F369</f>
        <v>21.25</v>
      </c>
      <c r="G152" s="52">
        <f>'[1]Table by district'!G369</f>
        <v>24.24</v>
      </c>
      <c r="H152" s="52">
        <f>'[1]Table by district'!H369</f>
        <v>14.24</v>
      </c>
      <c r="I152" s="52">
        <f>'[1]Table by district'!I369</f>
        <v>24.87</v>
      </c>
      <c r="J152" s="52">
        <f>'[1]Table by district'!J369</f>
        <v>2.5</v>
      </c>
      <c r="K152" s="52">
        <f>'[1]Table by district'!K369</f>
        <v>53.6</v>
      </c>
    </row>
    <row r="153" spans="1:11" ht="24" customHeight="1" x14ac:dyDescent="0.25">
      <c r="A153" s="18">
        <v>7</v>
      </c>
      <c r="B153" s="51" t="s">
        <v>110</v>
      </c>
      <c r="C153" s="47"/>
      <c r="D153" s="52">
        <f>'[1]Table by district'!D370</f>
        <v>47.69</v>
      </c>
      <c r="E153" s="52">
        <f>'[1]Table by district'!E370</f>
        <v>44.94</v>
      </c>
      <c r="F153" s="52">
        <f>'[1]Table by district'!F370</f>
        <v>22.38</v>
      </c>
      <c r="G153" s="52">
        <f>'[1]Table by district'!G370</f>
        <v>33.92</v>
      </c>
      <c r="H153" s="52">
        <f>'[1]Table by district'!H370</f>
        <v>42.15</v>
      </c>
      <c r="I153" s="52">
        <f>'[1]Table by district'!I370</f>
        <v>89.33</v>
      </c>
      <c r="J153" s="52">
        <f>'[1]Table by district'!J370</f>
        <v>3.35</v>
      </c>
      <c r="K153" s="52">
        <f>'[1]Table by district'!K370</f>
        <v>97.76</v>
      </c>
    </row>
    <row r="154" spans="1:11" ht="24" customHeight="1" x14ac:dyDescent="0.25">
      <c r="B154" s="53" t="str">
        <f>'[1]Table by district'!A371</f>
        <v>១៥. ការចិញ្ចឹមសត្វនិងវារីវប្បកម្ម</v>
      </c>
      <c r="C154" s="12"/>
      <c r="D154" s="39"/>
      <c r="E154" s="39"/>
      <c r="F154" s="39"/>
      <c r="G154" s="39"/>
      <c r="H154" s="39"/>
      <c r="I154" s="39"/>
      <c r="J154" s="39"/>
      <c r="K154" s="39"/>
    </row>
    <row r="155" spans="1:11" ht="24" customHeight="1" x14ac:dyDescent="0.25">
      <c r="A155" s="14">
        <v>1</v>
      </c>
      <c r="B155" s="19" t="s">
        <v>111</v>
      </c>
      <c r="C155" s="16"/>
      <c r="D155" s="17">
        <f>SUM('[1]Table by district'!D372:D373,'[1]Table by district'!D377)</f>
        <v>131910</v>
      </c>
      <c r="E155" s="17">
        <f>SUM('[1]Table by district'!E372:E373,'[1]Table by district'!E377)</f>
        <v>6485</v>
      </c>
      <c r="F155" s="17">
        <f>SUM('[1]Table by district'!F372:F373,'[1]Table by district'!F377)</f>
        <v>45058</v>
      </c>
      <c r="G155" s="17">
        <f>SUM('[1]Table by district'!G372:G373,'[1]Table by district'!G377)</f>
        <v>13564</v>
      </c>
      <c r="H155" s="17">
        <f>SUM('[1]Table by district'!H372:H373,'[1]Table by district'!H377)</f>
        <v>22797</v>
      </c>
      <c r="I155" s="17">
        <f>SUM('[1]Table by district'!I372:I373,'[1]Table by district'!I377)</f>
        <v>13665</v>
      </c>
      <c r="J155" s="17">
        <f>SUM('[1]Table by district'!J372:J373,'[1]Table by district'!J377)</f>
        <v>3610</v>
      </c>
      <c r="K155" s="17">
        <f>SUM('[1]Table by district'!K372:K373,'[1]Table by district'!K377)</f>
        <v>26731</v>
      </c>
    </row>
    <row r="156" spans="1:11" ht="24" customHeight="1" x14ac:dyDescent="0.25">
      <c r="A156" s="18">
        <v>2</v>
      </c>
      <c r="B156" s="19" t="s">
        <v>112</v>
      </c>
      <c r="C156" s="20"/>
      <c r="D156" s="21">
        <f>SUM('[1]Table by district'!D374:D376)</f>
        <v>675828</v>
      </c>
      <c r="E156" s="21">
        <f>SUM('[1]Table by district'!E374:E376)</f>
        <v>55810</v>
      </c>
      <c r="F156" s="21">
        <f>SUM('[1]Table by district'!F374:F376)</f>
        <v>130788</v>
      </c>
      <c r="G156" s="21">
        <f>SUM('[1]Table by district'!G374:G376)</f>
        <v>127450</v>
      </c>
      <c r="H156" s="21">
        <f>SUM('[1]Table by district'!H374:H376)</f>
        <v>74696</v>
      </c>
      <c r="I156" s="21">
        <f>SUM('[1]Table by district'!I374:I376)</f>
        <v>165682</v>
      </c>
      <c r="J156" s="21">
        <f>SUM('[1]Table by district'!J374:J376)</f>
        <v>25488</v>
      </c>
      <c r="K156" s="21">
        <f>SUM('[1]Table by district'!K374:K376)</f>
        <v>95914</v>
      </c>
    </row>
    <row r="157" spans="1:11" ht="24" customHeight="1" x14ac:dyDescent="0.25">
      <c r="A157" s="18">
        <v>3</v>
      </c>
      <c r="B157" s="19" t="s">
        <v>113</v>
      </c>
      <c r="C157" s="20"/>
      <c r="D157" s="21">
        <f>SUM('[1]Table by district'!D379:D384)</f>
        <v>105939</v>
      </c>
      <c r="E157" s="21">
        <f>SUM('[1]Table by district'!E379:E384)</f>
        <v>10173</v>
      </c>
      <c r="F157" s="21">
        <f>SUM('[1]Table by district'!F379:F384)</f>
        <v>26641</v>
      </c>
      <c r="G157" s="21">
        <f>SUM('[1]Table by district'!G379:G384)</f>
        <v>16557</v>
      </c>
      <c r="H157" s="21">
        <f>SUM('[1]Table by district'!H379:H384)</f>
        <v>13244</v>
      </c>
      <c r="I157" s="21">
        <f>SUM('[1]Table by district'!I379:I384)</f>
        <v>21683</v>
      </c>
      <c r="J157" s="21">
        <f>SUM('[1]Table by district'!J379:J384)</f>
        <v>3891</v>
      </c>
      <c r="K157" s="21">
        <f>SUM('[1]Table by district'!K379:K384)</f>
        <v>13750</v>
      </c>
    </row>
    <row r="158" spans="1:11" ht="24" customHeight="1" x14ac:dyDescent="0.25">
      <c r="A158" s="14">
        <v>4</v>
      </c>
      <c r="B158" s="19" t="s">
        <v>114</v>
      </c>
      <c r="C158" s="20"/>
      <c r="D158" s="21">
        <f>SUM('[1]Table by district'!D385:D386,'[1]Table by district'!D388,'[1]Table by district'!D390)</f>
        <v>362</v>
      </c>
      <c r="E158" s="21">
        <f>SUM('[1]Table by district'!E385:E386,'[1]Table by district'!E388,'[1]Table by district'!E390)</f>
        <v>80</v>
      </c>
      <c r="F158" s="21">
        <f>SUM('[1]Table by district'!F385:F386,'[1]Table by district'!F388,'[1]Table by district'!F390)</f>
        <v>3</v>
      </c>
      <c r="G158" s="21">
        <f>SUM('[1]Table by district'!G385:G386,'[1]Table by district'!G388,'[1]Table by district'!G390)</f>
        <v>151</v>
      </c>
      <c r="H158" s="21">
        <f>SUM('[1]Table by district'!H385:H386,'[1]Table by district'!H388,'[1]Table by district'!H390)</f>
        <v>12</v>
      </c>
      <c r="I158" s="21">
        <f>SUM('[1]Table by district'!I385:I386,'[1]Table by district'!I388,'[1]Table by district'!I390)</f>
        <v>44</v>
      </c>
      <c r="J158" s="21">
        <f>SUM('[1]Table by district'!J385:J386,'[1]Table by district'!J388,'[1]Table by district'!J390)</f>
        <v>34</v>
      </c>
      <c r="K158" s="21">
        <f>SUM('[1]Table by district'!K385:K386,'[1]Table by district'!K388,'[1]Table by district'!K390)</f>
        <v>38</v>
      </c>
    </row>
    <row r="159" spans="1:11" ht="24" customHeight="1" x14ac:dyDescent="0.25">
      <c r="A159" s="18">
        <v>5</v>
      </c>
      <c r="B159" s="19" t="s">
        <v>115</v>
      </c>
      <c r="C159" s="20"/>
      <c r="D159" s="21">
        <f>SUM('[1]Table by district'!D387,'[1]Table by district'!D389,'[1]Table by district'!D391)</f>
        <v>356152</v>
      </c>
      <c r="E159" s="21">
        <f>SUM('[1]Table by district'!E387,'[1]Table by district'!E389,'[1]Table by district'!E391)</f>
        <v>42470</v>
      </c>
      <c r="F159" s="21">
        <f>SUM('[1]Table by district'!F387,'[1]Table by district'!F389,'[1]Table by district'!F391)</f>
        <v>1085</v>
      </c>
      <c r="G159" s="21">
        <f>SUM('[1]Table by district'!G387,'[1]Table by district'!G389,'[1]Table by district'!G391)</f>
        <v>241800</v>
      </c>
      <c r="H159" s="21">
        <f>SUM('[1]Table by district'!H387,'[1]Table by district'!H389,'[1]Table by district'!H391)</f>
        <v>4620</v>
      </c>
      <c r="I159" s="21">
        <f>SUM('[1]Table by district'!I387,'[1]Table by district'!I389,'[1]Table by district'!I391)</f>
        <v>1610</v>
      </c>
      <c r="J159" s="21">
        <f>SUM('[1]Table by district'!J387,'[1]Table by district'!J389,'[1]Table by district'!J391)</f>
        <v>6970</v>
      </c>
      <c r="K159" s="21">
        <f>SUM('[1]Table by district'!K387,'[1]Table by district'!K389,'[1]Table by district'!K391)</f>
        <v>57597</v>
      </c>
    </row>
    <row r="160" spans="1:11" ht="24" customHeight="1" x14ac:dyDescent="0.25">
      <c r="B160" s="49" t="str">
        <f>'[1]Table by district'!A392</f>
        <v>១៦. គ្រួសារនិងលំនៅស្ថាន</v>
      </c>
      <c r="C160" s="12"/>
      <c r="D160" s="39"/>
      <c r="E160" s="39"/>
      <c r="F160" s="39"/>
      <c r="G160" s="39"/>
      <c r="H160" s="39"/>
      <c r="I160" s="39"/>
      <c r="J160" s="39"/>
      <c r="K160" s="39"/>
    </row>
    <row r="161" spans="1:11" ht="24" customHeight="1" x14ac:dyDescent="0.25">
      <c r="A161" s="14">
        <v>1</v>
      </c>
      <c r="B161" s="5" t="s">
        <v>116</v>
      </c>
      <c r="C161" s="16"/>
      <c r="D161" s="17">
        <f>SUM('[1]Table by district'!D393,'[1]Table by district'!D395)</f>
        <v>5089</v>
      </c>
      <c r="E161" s="17">
        <f>SUM('[1]Table by district'!E393,'[1]Table by district'!E395)</f>
        <v>520</v>
      </c>
      <c r="F161" s="17">
        <f>SUM('[1]Table by district'!F393,'[1]Table by district'!F395)</f>
        <v>982</v>
      </c>
      <c r="G161" s="17">
        <f>SUM('[1]Table by district'!G393,'[1]Table by district'!G395)</f>
        <v>558</v>
      </c>
      <c r="H161" s="17">
        <f>SUM('[1]Table by district'!H393,'[1]Table by district'!H395)</f>
        <v>771</v>
      </c>
      <c r="I161" s="17">
        <f>SUM('[1]Table by district'!I393,'[1]Table by district'!I395)</f>
        <v>995</v>
      </c>
      <c r="J161" s="17">
        <f>SUM('[1]Table by district'!J393,'[1]Table by district'!J395)</f>
        <v>218</v>
      </c>
      <c r="K161" s="17">
        <f>SUM('[1]Table by district'!K393,'[1]Table by district'!K395)</f>
        <v>1045</v>
      </c>
    </row>
    <row r="162" spans="1:11" ht="24" customHeight="1" x14ac:dyDescent="0.25">
      <c r="A162" s="18">
        <v>2</v>
      </c>
      <c r="B162" s="5" t="s">
        <v>117</v>
      </c>
      <c r="C162" s="16"/>
      <c r="D162" s="21">
        <f>SUM('[1]Table by district'!D394,'[1]Table by district'!D396)</f>
        <v>94946</v>
      </c>
      <c r="E162" s="21">
        <f>SUM('[1]Table by district'!E394,'[1]Table by district'!E396)</f>
        <v>13599</v>
      </c>
      <c r="F162" s="21">
        <f>SUM('[1]Table by district'!F394,'[1]Table by district'!F396)</f>
        <v>17059</v>
      </c>
      <c r="G162" s="21">
        <f>SUM('[1]Table by district'!G394,'[1]Table by district'!G396)</f>
        <v>16766</v>
      </c>
      <c r="H162" s="21">
        <f>SUM('[1]Table by district'!H394,'[1]Table by district'!H396)</f>
        <v>9539</v>
      </c>
      <c r="I162" s="21">
        <f>SUM('[1]Table by district'!I394,'[1]Table by district'!I396)</f>
        <v>22338</v>
      </c>
      <c r="J162" s="21">
        <f>SUM('[1]Table by district'!J394,'[1]Table by district'!J396)</f>
        <v>5878</v>
      </c>
      <c r="K162" s="21">
        <f>SUM('[1]Table by district'!K394,'[1]Table by district'!K396)</f>
        <v>9767</v>
      </c>
    </row>
    <row r="163" spans="1:11" ht="24" customHeight="1" x14ac:dyDescent="0.25">
      <c r="A163" s="18">
        <v>3</v>
      </c>
      <c r="B163" s="5" t="s">
        <v>118</v>
      </c>
      <c r="C163" s="16"/>
      <c r="D163" s="21">
        <f>SUM('[1]Table by district'!D397:D399)</f>
        <v>5428</v>
      </c>
      <c r="E163" s="21">
        <f>SUM('[1]Table by district'!E397:E399)</f>
        <v>636</v>
      </c>
      <c r="F163" s="21">
        <f>SUM('[1]Table by district'!F397:F399)</f>
        <v>475</v>
      </c>
      <c r="G163" s="21">
        <f>SUM('[1]Table by district'!G397:G399)</f>
        <v>599</v>
      </c>
      <c r="H163" s="21">
        <f>SUM('[1]Table by district'!H397:H399)</f>
        <v>167</v>
      </c>
      <c r="I163" s="21">
        <f>SUM('[1]Table by district'!I397:I399)</f>
        <v>1446</v>
      </c>
      <c r="J163" s="21">
        <f>SUM('[1]Table by district'!J397:J399)</f>
        <v>2043</v>
      </c>
      <c r="K163" s="21">
        <f>SUM('[1]Table by district'!K397:K399)</f>
        <v>62</v>
      </c>
    </row>
    <row r="164" spans="1:11" ht="24" customHeight="1" x14ac:dyDescent="0.25">
      <c r="A164" s="14">
        <v>4</v>
      </c>
      <c r="B164" s="46" t="s">
        <v>119</v>
      </c>
      <c r="C164" s="16"/>
      <c r="D164" s="42">
        <f>SUM(D161:D163)</f>
        <v>105463</v>
      </c>
      <c r="E164" s="42">
        <f t="shared" ref="E164:K164" si="24">SUM(E161:E163)</f>
        <v>14755</v>
      </c>
      <c r="F164" s="42">
        <f t="shared" si="24"/>
        <v>18516</v>
      </c>
      <c r="G164" s="42">
        <f t="shared" si="24"/>
        <v>17923</v>
      </c>
      <c r="H164" s="42">
        <f t="shared" si="24"/>
        <v>10477</v>
      </c>
      <c r="I164" s="42">
        <f t="shared" si="24"/>
        <v>24779</v>
      </c>
      <c r="J164" s="42">
        <f t="shared" si="24"/>
        <v>8139</v>
      </c>
      <c r="K164" s="42">
        <f t="shared" si="24"/>
        <v>10874</v>
      </c>
    </row>
    <row r="165" spans="1:11" ht="24" customHeight="1" x14ac:dyDescent="0.25">
      <c r="A165" s="18">
        <v>5</v>
      </c>
      <c r="B165" s="5" t="s">
        <v>120</v>
      </c>
      <c r="C165" s="20"/>
      <c r="D165" s="21">
        <f>SUM('[1]Table by district'!D400,'[1]Table by district'!D402)</f>
        <v>5481</v>
      </c>
      <c r="E165" s="21">
        <f>SUM('[1]Table by district'!E400,'[1]Table by district'!E402)</f>
        <v>531</v>
      </c>
      <c r="F165" s="21">
        <f>SUM('[1]Table by district'!F400,'[1]Table by district'!F402)</f>
        <v>1109</v>
      </c>
      <c r="G165" s="21">
        <f>SUM('[1]Table by district'!G400,'[1]Table by district'!G402)</f>
        <v>571</v>
      </c>
      <c r="H165" s="21">
        <f>SUM('[1]Table by district'!H400,'[1]Table by district'!H402)</f>
        <v>861</v>
      </c>
      <c r="I165" s="21">
        <f>SUM('[1]Table by district'!I400,'[1]Table by district'!I402)</f>
        <v>1054</v>
      </c>
      <c r="J165" s="21">
        <f>SUM('[1]Table by district'!J400,'[1]Table by district'!J402)</f>
        <v>229</v>
      </c>
      <c r="K165" s="21">
        <f>SUM('[1]Table by district'!K400,'[1]Table by district'!K402)</f>
        <v>1126</v>
      </c>
    </row>
    <row r="166" spans="1:11" ht="24" customHeight="1" x14ac:dyDescent="0.25">
      <c r="A166" s="14">
        <v>6</v>
      </c>
      <c r="B166" s="5" t="s">
        <v>121</v>
      </c>
      <c r="C166" s="20"/>
      <c r="D166" s="21">
        <f>SUM('[1]Table by district'!D401,'[1]Table by district'!D403)</f>
        <v>103449</v>
      </c>
      <c r="E166" s="21">
        <f>SUM('[1]Table by district'!E401,'[1]Table by district'!E403)</f>
        <v>14572</v>
      </c>
      <c r="F166" s="21">
        <f>SUM('[1]Table by district'!F401,'[1]Table by district'!F403)</f>
        <v>18711</v>
      </c>
      <c r="G166" s="21">
        <f>SUM('[1]Table by district'!G401,'[1]Table by district'!G403)</f>
        <v>17902</v>
      </c>
      <c r="H166" s="21">
        <f>SUM('[1]Table by district'!H401,'[1]Table by district'!H403)</f>
        <v>10743</v>
      </c>
      <c r="I166" s="21">
        <f>SUM('[1]Table by district'!I401,'[1]Table by district'!I403)</f>
        <v>24060</v>
      </c>
      <c r="J166" s="21">
        <f>SUM('[1]Table by district'!J401,'[1]Table by district'!J403)</f>
        <v>6663</v>
      </c>
      <c r="K166" s="21">
        <f>SUM('[1]Table by district'!K401,'[1]Table by district'!K403)</f>
        <v>10798</v>
      </c>
    </row>
    <row r="167" spans="1:11" ht="24" customHeight="1" x14ac:dyDescent="0.25">
      <c r="A167" s="18">
        <v>7</v>
      </c>
      <c r="B167" s="5" t="s">
        <v>122</v>
      </c>
      <c r="C167" s="20"/>
      <c r="D167" s="21">
        <f>SUM('[1]Table by district'!D404:D406)</f>
        <v>5768</v>
      </c>
      <c r="E167" s="21">
        <f>SUM('[1]Table by district'!E404:E406)</f>
        <v>656</v>
      </c>
      <c r="F167" s="21">
        <f>SUM('[1]Table by district'!F404:F406)</f>
        <v>511</v>
      </c>
      <c r="G167" s="21">
        <f>SUM('[1]Table by district'!G404:G406)</f>
        <v>631</v>
      </c>
      <c r="H167" s="21">
        <f>SUM('[1]Table by district'!H404:H406)</f>
        <v>202</v>
      </c>
      <c r="I167" s="21">
        <f>SUM('[1]Table by district'!I404:I406)</f>
        <v>1479</v>
      </c>
      <c r="J167" s="21">
        <f>SUM('[1]Table by district'!J404:J406)</f>
        <v>2224</v>
      </c>
      <c r="K167" s="21">
        <f>SUM('[1]Table by district'!K404:K406)</f>
        <v>65</v>
      </c>
    </row>
    <row r="168" spans="1:11" ht="24" customHeight="1" x14ac:dyDescent="0.25">
      <c r="A168" s="18">
        <v>8</v>
      </c>
      <c r="B168" s="46" t="s">
        <v>123</v>
      </c>
      <c r="C168" s="47"/>
      <c r="D168" s="42">
        <f>SUM(D165:D167)</f>
        <v>114698</v>
      </c>
      <c r="E168" s="42">
        <f t="shared" ref="E168:K168" si="25">SUM(E165:E167)</f>
        <v>15759</v>
      </c>
      <c r="F168" s="42">
        <f t="shared" si="25"/>
        <v>20331</v>
      </c>
      <c r="G168" s="42">
        <f t="shared" si="25"/>
        <v>19104</v>
      </c>
      <c r="H168" s="42">
        <f t="shared" si="25"/>
        <v>11806</v>
      </c>
      <c r="I168" s="42">
        <f t="shared" si="25"/>
        <v>26593</v>
      </c>
      <c r="J168" s="42">
        <f t="shared" si="25"/>
        <v>9116</v>
      </c>
      <c r="K168" s="42">
        <f t="shared" si="25"/>
        <v>11989</v>
      </c>
    </row>
    <row r="169" spans="1:11" ht="24" customHeight="1" x14ac:dyDescent="0.25">
      <c r="B169" s="49" t="str">
        <f>'[1]Table by district'!A407</f>
        <v>១៧. ការប្រើប្រាស់អគិ្គសនីតាមលំនៅស្ថាន</v>
      </c>
      <c r="C169" s="12"/>
      <c r="D169" s="13">
        <f>SUM(D170:D172)</f>
        <v>78656</v>
      </c>
      <c r="E169" s="13">
        <f t="shared" ref="E169:K169" si="26">SUM(E170:E172)</f>
        <v>12646</v>
      </c>
      <c r="F169" s="13">
        <f t="shared" si="26"/>
        <v>13408</v>
      </c>
      <c r="G169" s="13">
        <f t="shared" si="26"/>
        <v>15481</v>
      </c>
      <c r="H169" s="13">
        <f t="shared" si="26"/>
        <v>5310</v>
      </c>
      <c r="I169" s="13">
        <f t="shared" si="26"/>
        <v>19357</v>
      </c>
      <c r="J169" s="13">
        <f t="shared" si="26"/>
        <v>7909</v>
      </c>
      <c r="K169" s="13">
        <f t="shared" si="26"/>
        <v>4545</v>
      </c>
    </row>
    <row r="170" spans="1:11" ht="24" customHeight="1" x14ac:dyDescent="0.25">
      <c r="A170" s="14">
        <v>1</v>
      </c>
      <c r="B170" s="5" t="s">
        <v>116</v>
      </c>
      <c r="C170" s="16"/>
      <c r="D170" s="17">
        <f>SUM('[1]Table by district'!D408,'[1]Table by district'!D410)</f>
        <v>1902</v>
      </c>
      <c r="E170" s="17">
        <f>SUM('[1]Table by district'!E408,'[1]Table by district'!E410)</f>
        <v>226</v>
      </c>
      <c r="F170" s="17">
        <f>SUM('[1]Table by district'!F408,'[1]Table by district'!F410)</f>
        <v>340</v>
      </c>
      <c r="G170" s="17">
        <f>SUM('[1]Table by district'!G408,'[1]Table by district'!G410)</f>
        <v>381</v>
      </c>
      <c r="H170" s="17">
        <f>SUM('[1]Table by district'!H408,'[1]Table by district'!H410)</f>
        <v>100</v>
      </c>
      <c r="I170" s="17">
        <f>SUM('[1]Table by district'!I408,'[1]Table by district'!I410)</f>
        <v>432</v>
      </c>
      <c r="J170" s="17">
        <f>SUM('[1]Table by district'!J408,'[1]Table by district'!J410)</f>
        <v>209</v>
      </c>
      <c r="K170" s="17">
        <f>SUM('[1]Table by district'!K408,'[1]Table by district'!K410)</f>
        <v>214</v>
      </c>
    </row>
    <row r="171" spans="1:11" ht="24" customHeight="1" x14ac:dyDescent="0.25">
      <c r="A171" s="18">
        <v>2</v>
      </c>
      <c r="B171" s="5" t="s">
        <v>117</v>
      </c>
      <c r="C171" s="20"/>
      <c r="D171" s="21">
        <f>SUM('[1]Table by district'!D409,'[1]Table by district'!D411)</f>
        <v>71462</v>
      </c>
      <c r="E171" s="21">
        <f>SUM('[1]Table by district'!E409,'[1]Table by district'!E411)</f>
        <v>11820</v>
      </c>
      <c r="F171" s="21">
        <f>SUM('[1]Table by district'!F409,'[1]Table by district'!F411)</f>
        <v>12616</v>
      </c>
      <c r="G171" s="21">
        <f>SUM('[1]Table by district'!G409,'[1]Table by district'!G411)</f>
        <v>14513</v>
      </c>
      <c r="H171" s="21">
        <f>SUM('[1]Table by district'!H409,'[1]Table by district'!H411)</f>
        <v>5053</v>
      </c>
      <c r="I171" s="21">
        <f>SUM('[1]Table by district'!I409,'[1]Table by district'!I411)</f>
        <v>17521</v>
      </c>
      <c r="J171" s="21">
        <f>SUM('[1]Table by district'!J409,'[1]Table by district'!J411)</f>
        <v>5660</v>
      </c>
      <c r="K171" s="21">
        <f>SUM('[1]Table by district'!K409,'[1]Table by district'!K411)</f>
        <v>4279</v>
      </c>
    </row>
    <row r="172" spans="1:11" ht="24" customHeight="1" x14ac:dyDescent="0.25">
      <c r="A172" s="18">
        <v>3</v>
      </c>
      <c r="B172" s="5" t="s">
        <v>118</v>
      </c>
      <c r="C172" s="20"/>
      <c r="D172" s="21">
        <f>SUM('[1]Table by district'!D412:D414)</f>
        <v>5292</v>
      </c>
      <c r="E172" s="21">
        <f>SUM('[1]Table by district'!E412:E414)</f>
        <v>600</v>
      </c>
      <c r="F172" s="21">
        <f>SUM('[1]Table by district'!F412:F414)</f>
        <v>452</v>
      </c>
      <c r="G172" s="21">
        <f>SUM('[1]Table by district'!G412:G414)</f>
        <v>587</v>
      </c>
      <c r="H172" s="21">
        <f>SUM('[1]Table by district'!H412:H414)</f>
        <v>157</v>
      </c>
      <c r="I172" s="21">
        <f>SUM('[1]Table by district'!I412:I414)</f>
        <v>1404</v>
      </c>
      <c r="J172" s="21">
        <f>SUM('[1]Table by district'!J412:J414)</f>
        <v>2040</v>
      </c>
      <c r="K172" s="21">
        <f>SUM('[1]Table by district'!K412:K414)</f>
        <v>52</v>
      </c>
    </row>
    <row r="173" spans="1:11" ht="24" customHeight="1" x14ac:dyDescent="0.25">
      <c r="B173" s="49" t="str">
        <f>'[1]Table by district'!A415</f>
        <v>១៨. ការប្រើប្រាស់ថាមពលពីអាគុយតាមលំនៅស្ថាន</v>
      </c>
      <c r="C173" s="12"/>
      <c r="D173" s="13">
        <f>SUM(D174:D176)</f>
        <v>13920</v>
      </c>
      <c r="E173" s="13">
        <f t="shared" ref="E173:K173" si="27">SUM(E174:E176)</f>
        <v>924</v>
      </c>
      <c r="F173" s="13">
        <f t="shared" si="27"/>
        <v>3942</v>
      </c>
      <c r="G173" s="13">
        <f t="shared" si="27"/>
        <v>666</v>
      </c>
      <c r="H173" s="13">
        <f t="shared" si="27"/>
        <v>1348</v>
      </c>
      <c r="I173" s="13">
        <f t="shared" si="27"/>
        <v>4024</v>
      </c>
      <c r="J173" s="13">
        <f t="shared" si="27"/>
        <v>39</v>
      </c>
      <c r="K173" s="13">
        <f t="shared" si="27"/>
        <v>2977</v>
      </c>
    </row>
    <row r="174" spans="1:11" ht="24" customHeight="1" x14ac:dyDescent="0.25">
      <c r="A174" s="14">
        <v>1</v>
      </c>
      <c r="B174" s="5" t="s">
        <v>116</v>
      </c>
      <c r="C174" s="16"/>
      <c r="D174" s="17">
        <f>SUM('[1]Table by district'!D416,'[1]Table by district'!D418)</f>
        <v>1876</v>
      </c>
      <c r="E174" s="17">
        <f>SUM('[1]Table by district'!E416,'[1]Table by district'!E418)</f>
        <v>164</v>
      </c>
      <c r="F174" s="17">
        <f>SUM('[1]Table by district'!F416,'[1]Table by district'!F418)</f>
        <v>493</v>
      </c>
      <c r="G174" s="17">
        <f>SUM('[1]Table by district'!G416,'[1]Table by district'!G418)</f>
        <v>36</v>
      </c>
      <c r="H174" s="17">
        <f>SUM('[1]Table by district'!H416,'[1]Table by district'!H418)</f>
        <v>259</v>
      </c>
      <c r="I174" s="17">
        <f>SUM('[1]Table by district'!I416,'[1]Table by district'!I418)</f>
        <v>452</v>
      </c>
      <c r="J174" s="17">
        <f>SUM('[1]Table by district'!J416,'[1]Table by district'!J418)</f>
        <v>8</v>
      </c>
      <c r="K174" s="17">
        <f>SUM('[1]Table by district'!K416,'[1]Table by district'!K418)</f>
        <v>464</v>
      </c>
    </row>
    <row r="175" spans="1:11" ht="24" customHeight="1" x14ac:dyDescent="0.25">
      <c r="A175" s="18">
        <v>2</v>
      </c>
      <c r="B175" s="5" t="s">
        <v>117</v>
      </c>
      <c r="C175" s="20"/>
      <c r="D175" s="21">
        <f>SUM('[1]Table by district'!D417,'[1]Table by district'!D419)</f>
        <v>12024</v>
      </c>
      <c r="E175" s="21">
        <f>SUM('[1]Table by district'!E417,'[1]Table by district'!E419)</f>
        <v>757</v>
      </c>
      <c r="F175" s="21">
        <f>SUM('[1]Table by district'!F417,'[1]Table by district'!F419)</f>
        <v>3448</v>
      </c>
      <c r="G175" s="21">
        <f>SUM('[1]Table by district'!G417,'[1]Table by district'!G419)</f>
        <v>630</v>
      </c>
      <c r="H175" s="21">
        <f>SUM('[1]Table by district'!H417,'[1]Table by district'!H419)</f>
        <v>1086</v>
      </c>
      <c r="I175" s="21">
        <f>SUM('[1]Table by district'!I417,'[1]Table by district'!I419)</f>
        <v>3565</v>
      </c>
      <c r="J175" s="21">
        <f>SUM('[1]Table by district'!J417,'[1]Table by district'!J419)</f>
        <v>31</v>
      </c>
      <c r="K175" s="21">
        <f>SUM('[1]Table by district'!K417,'[1]Table by district'!K419)</f>
        <v>2507</v>
      </c>
    </row>
    <row r="176" spans="1:11" ht="24" customHeight="1" x14ac:dyDescent="0.25">
      <c r="A176" s="18">
        <v>3</v>
      </c>
      <c r="B176" s="5" t="s">
        <v>118</v>
      </c>
      <c r="C176" s="20"/>
      <c r="D176" s="21">
        <f>SUM('[1]Table by district'!D420:D422)</f>
        <v>20</v>
      </c>
      <c r="E176" s="21">
        <f>SUM('[1]Table by district'!E420:E422)</f>
        <v>3</v>
      </c>
      <c r="F176" s="21">
        <f>SUM('[1]Table by district'!F420:F422)</f>
        <v>1</v>
      </c>
      <c r="G176" s="21">
        <f>SUM('[1]Table by district'!G420:G422)</f>
        <v>0</v>
      </c>
      <c r="H176" s="21">
        <f>SUM('[1]Table by district'!H420:H422)</f>
        <v>3</v>
      </c>
      <c r="I176" s="21">
        <f>SUM('[1]Table by district'!I420:I422)</f>
        <v>7</v>
      </c>
      <c r="J176" s="21">
        <f>SUM('[1]Table by district'!J420:J422)</f>
        <v>0</v>
      </c>
      <c r="K176" s="21">
        <f>SUM('[1]Table by district'!K420:K422)</f>
        <v>6</v>
      </c>
    </row>
    <row r="177" spans="1:11" ht="24" customHeight="1" x14ac:dyDescent="0.25">
      <c r="B177" s="49" t="str">
        <f>'[1]Table by district'!A423</f>
        <v>១៩. ការប្រើប្រាស់ថាមពលពីព្រះអាទិត្យតាមលំនៅស្ថាន</v>
      </c>
      <c r="C177" s="12"/>
      <c r="D177" s="13">
        <f>SUM(D178:D180)</f>
        <v>10301</v>
      </c>
      <c r="E177" s="13">
        <f t="shared" ref="E177:K177" si="28">SUM(E178:E180)</f>
        <v>1042</v>
      </c>
      <c r="F177" s="13">
        <f t="shared" si="28"/>
        <v>860</v>
      </c>
      <c r="G177" s="13">
        <f t="shared" si="28"/>
        <v>1428</v>
      </c>
      <c r="H177" s="13">
        <f t="shared" si="28"/>
        <v>3174</v>
      </c>
      <c r="I177" s="13">
        <f t="shared" si="28"/>
        <v>1004</v>
      </c>
      <c r="J177" s="13">
        <f t="shared" si="28"/>
        <v>46</v>
      </c>
      <c r="K177" s="13">
        <f t="shared" si="28"/>
        <v>2747</v>
      </c>
    </row>
    <row r="178" spans="1:11" ht="24" customHeight="1" x14ac:dyDescent="0.25">
      <c r="A178" s="14">
        <v>1</v>
      </c>
      <c r="B178" s="5" t="s">
        <v>116</v>
      </c>
      <c r="C178" s="16"/>
      <c r="D178" s="17">
        <f>SUM('[1]Table by district'!D424,'[1]Table by district'!D426)</f>
        <v>1108</v>
      </c>
      <c r="E178" s="17">
        <f>SUM('[1]Table by district'!E424,'[1]Table by district'!E426)</f>
        <v>107</v>
      </c>
      <c r="F178" s="17">
        <f>SUM('[1]Table by district'!F424,'[1]Table by district'!F426)</f>
        <v>136</v>
      </c>
      <c r="G178" s="17">
        <f>SUM('[1]Table by district'!G424,'[1]Table by district'!G426)</f>
        <v>133</v>
      </c>
      <c r="H178" s="17">
        <f>SUM('[1]Table by district'!H424,'[1]Table by district'!H426)</f>
        <v>309</v>
      </c>
      <c r="I178" s="17">
        <f>SUM('[1]Table by district'!I424,'[1]Table by district'!I426)</f>
        <v>103</v>
      </c>
      <c r="J178" s="17">
        <f>SUM('[1]Table by district'!J424,'[1]Table by district'!J426)</f>
        <v>1</v>
      </c>
      <c r="K178" s="17">
        <f>SUM('[1]Table by district'!K424,'[1]Table by district'!K426)</f>
        <v>319</v>
      </c>
    </row>
    <row r="179" spans="1:11" ht="24" customHeight="1" x14ac:dyDescent="0.25">
      <c r="A179" s="18">
        <v>2</v>
      </c>
      <c r="B179" s="5" t="s">
        <v>117</v>
      </c>
      <c r="C179" s="20"/>
      <c r="D179" s="21">
        <f>SUM('[1]Table by district'!D425,'[1]Table by district'!D427)</f>
        <v>9101</v>
      </c>
      <c r="E179" s="21">
        <f>SUM('[1]Table by district'!E425,'[1]Table by district'!E427)</f>
        <v>902</v>
      </c>
      <c r="F179" s="21">
        <f>SUM('[1]Table by district'!F425,'[1]Table by district'!F427)</f>
        <v>722</v>
      </c>
      <c r="G179" s="21">
        <f>SUM('[1]Table by district'!G425,'[1]Table by district'!G427)</f>
        <v>1284</v>
      </c>
      <c r="H179" s="21">
        <f>SUM('[1]Table by district'!H425,'[1]Table by district'!H427)</f>
        <v>2858</v>
      </c>
      <c r="I179" s="21">
        <f>SUM('[1]Table by district'!I425,'[1]Table by district'!I427)</f>
        <v>866</v>
      </c>
      <c r="J179" s="21">
        <f>SUM('[1]Table by district'!J425,'[1]Table by district'!J427)</f>
        <v>45</v>
      </c>
      <c r="K179" s="21">
        <f>SUM('[1]Table by district'!K425,'[1]Table by district'!K427)</f>
        <v>2424</v>
      </c>
    </row>
    <row r="180" spans="1:11" ht="24" customHeight="1" x14ac:dyDescent="0.25">
      <c r="A180" s="18">
        <v>3</v>
      </c>
      <c r="B180" s="5" t="s">
        <v>118</v>
      </c>
      <c r="C180" s="20"/>
      <c r="D180" s="21">
        <f>SUM('[1]Table by district'!D428:D430)</f>
        <v>92</v>
      </c>
      <c r="E180" s="21">
        <f>SUM('[1]Table by district'!E428:E430)</f>
        <v>33</v>
      </c>
      <c r="F180" s="21">
        <f>SUM('[1]Table by district'!F428:F430)</f>
        <v>2</v>
      </c>
      <c r="G180" s="21">
        <f>SUM('[1]Table by district'!G428:G430)</f>
        <v>11</v>
      </c>
      <c r="H180" s="21">
        <f>SUM('[1]Table by district'!H428:H430)</f>
        <v>7</v>
      </c>
      <c r="I180" s="21">
        <f>SUM('[1]Table by district'!I428:I430)</f>
        <v>35</v>
      </c>
      <c r="J180" s="21">
        <f>SUM('[1]Table by district'!J428:J430)</f>
        <v>0</v>
      </c>
      <c r="K180" s="21">
        <f>SUM('[1]Table by district'!K428:K430)</f>
        <v>4</v>
      </c>
    </row>
    <row r="181" spans="1:11" ht="24" customHeight="1" x14ac:dyDescent="0.25">
      <c r="B181" s="49" t="str">
        <f>'[1]Table by district'!A431</f>
        <v>២០. ការប្រើប្រាស់ថាមពលពីឡជីវឧស្ម័នតាមលំនៅស្ថាន</v>
      </c>
      <c r="C181" s="12"/>
      <c r="D181" s="13">
        <f>SUM(D182:D184)</f>
        <v>4</v>
      </c>
      <c r="E181" s="13">
        <f t="shared" ref="E181:K181" si="29">SUM(E182:E184)</f>
        <v>0</v>
      </c>
      <c r="F181" s="13">
        <f t="shared" si="29"/>
        <v>0</v>
      </c>
      <c r="G181" s="13">
        <f t="shared" si="29"/>
        <v>0</v>
      </c>
      <c r="H181" s="13">
        <f t="shared" si="29"/>
        <v>4</v>
      </c>
      <c r="I181" s="13">
        <f t="shared" si="29"/>
        <v>0</v>
      </c>
      <c r="J181" s="13">
        <f t="shared" si="29"/>
        <v>0</v>
      </c>
      <c r="K181" s="13">
        <f t="shared" si="29"/>
        <v>0</v>
      </c>
    </row>
    <row r="182" spans="1:11" ht="24" customHeight="1" x14ac:dyDescent="0.25">
      <c r="A182" s="14">
        <v>1</v>
      </c>
      <c r="B182" s="5" t="s">
        <v>116</v>
      </c>
      <c r="C182" s="16"/>
      <c r="D182" s="17">
        <f>SUM('[1]Table by district'!D432,'[1]Table by district'!D434)</f>
        <v>4</v>
      </c>
      <c r="E182" s="17">
        <f>SUM('[1]Table by district'!E432,'[1]Table by district'!E434)</f>
        <v>0</v>
      </c>
      <c r="F182" s="17">
        <f>SUM('[1]Table by district'!F432,'[1]Table by district'!F434)</f>
        <v>0</v>
      </c>
      <c r="G182" s="17">
        <f>SUM('[1]Table by district'!G432,'[1]Table by district'!G434)</f>
        <v>0</v>
      </c>
      <c r="H182" s="17">
        <f>SUM('[1]Table by district'!H432,'[1]Table by district'!H434)</f>
        <v>4</v>
      </c>
      <c r="I182" s="17">
        <f>SUM('[1]Table by district'!I432,'[1]Table by district'!I434)</f>
        <v>0</v>
      </c>
      <c r="J182" s="17">
        <f>SUM('[1]Table by district'!J432,'[1]Table by district'!J434)</f>
        <v>0</v>
      </c>
      <c r="K182" s="17">
        <f>SUM('[1]Table by district'!K432,'[1]Table by district'!K434)</f>
        <v>0</v>
      </c>
    </row>
    <row r="183" spans="1:11" ht="24" customHeight="1" x14ac:dyDescent="0.25">
      <c r="A183" s="18">
        <v>2</v>
      </c>
      <c r="B183" s="5" t="s">
        <v>117</v>
      </c>
      <c r="C183" s="20"/>
      <c r="D183" s="21">
        <f>SUM('[1]Table by district'!D433,'[1]Table by district'!D435)</f>
        <v>0</v>
      </c>
      <c r="E183" s="21">
        <f>SUM('[1]Table by district'!E433,'[1]Table by district'!E435)</f>
        <v>0</v>
      </c>
      <c r="F183" s="21">
        <f>SUM('[1]Table by district'!F433,'[1]Table by district'!F435)</f>
        <v>0</v>
      </c>
      <c r="G183" s="21">
        <f>SUM('[1]Table by district'!G433,'[1]Table by district'!G435)</f>
        <v>0</v>
      </c>
      <c r="H183" s="21">
        <f>SUM('[1]Table by district'!H433,'[1]Table by district'!H435)</f>
        <v>0</v>
      </c>
      <c r="I183" s="21">
        <f>SUM('[1]Table by district'!I433,'[1]Table by district'!I435)</f>
        <v>0</v>
      </c>
      <c r="J183" s="21">
        <f>SUM('[1]Table by district'!J433,'[1]Table by district'!J435)</f>
        <v>0</v>
      </c>
      <c r="K183" s="21">
        <f>SUM('[1]Table by district'!K433,'[1]Table by district'!K435)</f>
        <v>0</v>
      </c>
    </row>
    <row r="184" spans="1:11" ht="24" customHeight="1" x14ac:dyDescent="0.25">
      <c r="A184" s="18">
        <v>3</v>
      </c>
      <c r="B184" s="5" t="s">
        <v>118</v>
      </c>
      <c r="C184" s="20"/>
      <c r="D184" s="21">
        <f>SUM('[1]Table by district'!D436:D438)</f>
        <v>0</v>
      </c>
      <c r="E184" s="21">
        <f>SUM('[1]Table by district'!E436:E438)</f>
        <v>0</v>
      </c>
      <c r="F184" s="21">
        <f>SUM('[1]Table by district'!F436:F438)</f>
        <v>0</v>
      </c>
      <c r="G184" s="21">
        <f>SUM('[1]Table by district'!G436:G438)</f>
        <v>0</v>
      </c>
      <c r="H184" s="21">
        <f>SUM('[1]Table by district'!H436:H438)</f>
        <v>0</v>
      </c>
      <c r="I184" s="21">
        <f>SUM('[1]Table by district'!I436:I438)</f>
        <v>0</v>
      </c>
      <c r="J184" s="21">
        <f>SUM('[1]Table by district'!J436:J438)</f>
        <v>0</v>
      </c>
      <c r="K184" s="21">
        <f>SUM('[1]Table by district'!K436:K438)</f>
        <v>0</v>
      </c>
    </row>
    <row r="185" spans="1:11" ht="24" customHeight="1" x14ac:dyDescent="0.25">
      <c r="B185" s="49" t="str">
        <f>'[1]Table by district'!A439</f>
        <v>២១. ការប្រើប្រាស់ទូរទស្សន៏តាមលំនៅស្ថាន</v>
      </c>
      <c r="C185" s="12"/>
      <c r="D185" s="13">
        <f>SUM(D186:D188)</f>
        <v>16317</v>
      </c>
      <c r="E185" s="13">
        <f t="shared" ref="E185:K185" si="30">SUM(E186:E188)</f>
        <v>3120</v>
      </c>
      <c r="F185" s="13">
        <f t="shared" si="30"/>
        <v>2662</v>
      </c>
      <c r="G185" s="13">
        <f t="shared" si="30"/>
        <v>3911</v>
      </c>
      <c r="H185" s="13">
        <f t="shared" si="30"/>
        <v>1441</v>
      </c>
      <c r="I185" s="13">
        <f t="shared" si="30"/>
        <v>2696</v>
      </c>
      <c r="J185" s="13">
        <f t="shared" si="30"/>
        <v>2408</v>
      </c>
      <c r="K185" s="13">
        <f t="shared" si="30"/>
        <v>79</v>
      </c>
    </row>
    <row r="186" spans="1:11" ht="24" customHeight="1" x14ac:dyDescent="0.25">
      <c r="A186" s="14">
        <v>1</v>
      </c>
      <c r="B186" s="5" t="s">
        <v>116</v>
      </c>
      <c r="C186" s="16"/>
      <c r="D186" s="17">
        <f>SUM('[1]Table by district'!D440,'[1]Table by district'!D442)</f>
        <v>164</v>
      </c>
      <c r="E186" s="17">
        <f>SUM('[1]Table by district'!E440,'[1]Table by district'!E442)</f>
        <v>24</v>
      </c>
      <c r="F186" s="17">
        <f>SUM('[1]Table by district'!F440,'[1]Table by district'!F442)</f>
        <v>35</v>
      </c>
      <c r="G186" s="17">
        <f>SUM('[1]Table by district'!G440,'[1]Table by district'!G442)</f>
        <v>26</v>
      </c>
      <c r="H186" s="17">
        <f>SUM('[1]Table by district'!H440,'[1]Table by district'!H442)</f>
        <v>9</v>
      </c>
      <c r="I186" s="17">
        <f>SUM('[1]Table by district'!I440,'[1]Table by district'!I442)</f>
        <v>19</v>
      </c>
      <c r="J186" s="17">
        <f>SUM('[1]Table by district'!J440,'[1]Table by district'!J442)</f>
        <v>49</v>
      </c>
      <c r="K186" s="17">
        <f>SUM('[1]Table by district'!K440,'[1]Table by district'!K442)</f>
        <v>2</v>
      </c>
    </row>
    <row r="187" spans="1:11" ht="24" customHeight="1" x14ac:dyDescent="0.25">
      <c r="A187" s="18">
        <v>2</v>
      </c>
      <c r="B187" s="5" t="s">
        <v>117</v>
      </c>
      <c r="C187" s="20"/>
      <c r="D187" s="21">
        <f>SUM('[1]Table by district'!D441,'[1]Table by district'!D443)</f>
        <v>14290</v>
      </c>
      <c r="E187" s="21">
        <f>SUM('[1]Table by district'!E441,'[1]Table by district'!E443)</f>
        <v>2818</v>
      </c>
      <c r="F187" s="21">
        <f>SUM('[1]Table by district'!F441,'[1]Table by district'!F443)</f>
        <v>2485</v>
      </c>
      <c r="G187" s="21">
        <f>SUM('[1]Table by district'!G441,'[1]Table by district'!G443)</f>
        <v>3730</v>
      </c>
      <c r="H187" s="21">
        <f>SUM('[1]Table by district'!H441,'[1]Table by district'!H443)</f>
        <v>1368</v>
      </c>
      <c r="I187" s="21">
        <f>SUM('[1]Table by district'!I441,'[1]Table by district'!I443)</f>
        <v>2250</v>
      </c>
      <c r="J187" s="21">
        <f>SUM('[1]Table by district'!J441,'[1]Table by district'!J443)</f>
        <v>1565</v>
      </c>
      <c r="K187" s="21">
        <f>SUM('[1]Table by district'!K441,'[1]Table by district'!K443)</f>
        <v>74</v>
      </c>
    </row>
    <row r="188" spans="1:11" ht="24" customHeight="1" x14ac:dyDescent="0.25">
      <c r="A188" s="18">
        <v>3</v>
      </c>
      <c r="B188" s="5" t="s">
        <v>118</v>
      </c>
      <c r="C188" s="20"/>
      <c r="D188" s="21">
        <f>SUM('[1]Table by district'!D444:D446)</f>
        <v>1863</v>
      </c>
      <c r="E188" s="21">
        <f>SUM('[1]Table by district'!E444:E446)</f>
        <v>278</v>
      </c>
      <c r="F188" s="21">
        <f>SUM('[1]Table by district'!F444:F446)</f>
        <v>142</v>
      </c>
      <c r="G188" s="21">
        <f>SUM('[1]Table by district'!G444:G446)</f>
        <v>155</v>
      </c>
      <c r="H188" s="21">
        <f>SUM('[1]Table by district'!H444:H446)</f>
        <v>64</v>
      </c>
      <c r="I188" s="21">
        <f>SUM('[1]Table by district'!I444:I446)</f>
        <v>427</v>
      </c>
      <c r="J188" s="21">
        <f>SUM('[1]Table by district'!J444:J446)</f>
        <v>794</v>
      </c>
      <c r="K188" s="21">
        <f>SUM('[1]Table by district'!K444:K446)</f>
        <v>3</v>
      </c>
    </row>
    <row r="189" spans="1:11" ht="24" customHeight="1" x14ac:dyDescent="0.25">
      <c r="B189" s="49" t="str">
        <f>'[1]Table by district'!A447</f>
        <v>២២. លំនៅស្ថានមិនមានគ្រួសារស្នាក់នៅជាប្រចាំ</v>
      </c>
      <c r="C189" s="12"/>
      <c r="D189" s="13">
        <f>SUM(D190:D192)</f>
        <v>2337</v>
      </c>
      <c r="E189" s="13">
        <f t="shared" ref="E189:K189" si="31">SUM(E190:E192)</f>
        <v>193</v>
      </c>
      <c r="F189" s="13">
        <f t="shared" si="31"/>
        <v>133</v>
      </c>
      <c r="G189" s="13">
        <f t="shared" si="31"/>
        <v>39</v>
      </c>
      <c r="H189" s="13">
        <f t="shared" si="31"/>
        <v>1058</v>
      </c>
      <c r="I189" s="13">
        <f t="shared" si="31"/>
        <v>310</v>
      </c>
      <c r="J189" s="13">
        <f t="shared" si="31"/>
        <v>27</v>
      </c>
      <c r="K189" s="13">
        <f t="shared" si="31"/>
        <v>577</v>
      </c>
    </row>
    <row r="190" spans="1:11" ht="24" customHeight="1" x14ac:dyDescent="0.25">
      <c r="A190" s="14">
        <v>1</v>
      </c>
      <c r="B190" s="5" t="s">
        <v>116</v>
      </c>
      <c r="C190" s="16"/>
      <c r="D190" s="17">
        <f>'[1]Table by district'!D448</f>
        <v>1278</v>
      </c>
      <c r="E190" s="17">
        <f>'[1]Table by district'!E448</f>
        <v>83</v>
      </c>
      <c r="F190" s="17">
        <f>'[1]Table by district'!F448</f>
        <v>84</v>
      </c>
      <c r="G190" s="17">
        <f>'[1]Table by district'!G448</f>
        <v>19</v>
      </c>
      <c r="H190" s="17">
        <f>'[1]Table by district'!H448</f>
        <v>644</v>
      </c>
      <c r="I190" s="17">
        <f>'[1]Table by district'!I448</f>
        <v>274</v>
      </c>
      <c r="J190" s="17">
        <f>'[1]Table by district'!J448</f>
        <v>9</v>
      </c>
      <c r="K190" s="17">
        <f>'[1]Table by district'!K448</f>
        <v>165</v>
      </c>
    </row>
    <row r="191" spans="1:11" ht="24" customHeight="1" x14ac:dyDescent="0.25">
      <c r="A191" s="18">
        <v>2</v>
      </c>
      <c r="B191" s="5" t="s">
        <v>117</v>
      </c>
      <c r="C191" s="20"/>
      <c r="D191" s="21">
        <f>SUM('[1]Table by district'!D449:D450)</f>
        <v>1039</v>
      </c>
      <c r="E191" s="21">
        <f>SUM('[1]Table by district'!E449:E450)</f>
        <v>104</v>
      </c>
      <c r="F191" s="21">
        <f>SUM('[1]Table by district'!F449:F450)</f>
        <v>45</v>
      </c>
      <c r="G191" s="21">
        <f>SUM('[1]Table by district'!G449:G450)</f>
        <v>20</v>
      </c>
      <c r="H191" s="21">
        <f>SUM('[1]Table by district'!H449:H450)</f>
        <v>414</v>
      </c>
      <c r="I191" s="21">
        <f>SUM('[1]Table by district'!I449:I450)</f>
        <v>36</v>
      </c>
      <c r="J191" s="21">
        <f>SUM('[1]Table by district'!J449:J450)</f>
        <v>8</v>
      </c>
      <c r="K191" s="21">
        <f>SUM('[1]Table by district'!K449:K450)</f>
        <v>412</v>
      </c>
    </row>
    <row r="192" spans="1:11" ht="24" customHeight="1" x14ac:dyDescent="0.25">
      <c r="A192" s="18">
        <v>3</v>
      </c>
      <c r="B192" s="5" t="s">
        <v>118</v>
      </c>
      <c r="C192" s="20"/>
      <c r="D192" s="21">
        <f>SUM('[1]Table by district'!D451:D452)</f>
        <v>20</v>
      </c>
      <c r="E192" s="21">
        <f>SUM('[1]Table by district'!E451:E452)</f>
        <v>6</v>
      </c>
      <c r="F192" s="21">
        <f>SUM('[1]Table by district'!F451:F452)</f>
        <v>4</v>
      </c>
      <c r="G192" s="21">
        <f>SUM('[1]Table by district'!G451:G452)</f>
        <v>0</v>
      </c>
      <c r="H192" s="21">
        <f>SUM('[1]Table by district'!H451:H452)</f>
        <v>0</v>
      </c>
      <c r="I192" s="21">
        <f>SUM('[1]Table by district'!I451:I452)</f>
        <v>0</v>
      </c>
      <c r="J192" s="21">
        <f>SUM('[1]Table by district'!J451:J452)</f>
        <v>10</v>
      </c>
      <c r="K192" s="21">
        <f>SUM('[1]Table by district'!K451:K452)</f>
        <v>0</v>
      </c>
    </row>
    <row r="193" spans="1:11" ht="24" customHeight="1" x14ac:dyDescent="0.25">
      <c r="B193" s="54" t="str">
        <f>'[1]Table by district'!A453</f>
        <v>២៣. សុខភាពមាតានិងទារក</v>
      </c>
      <c r="C193" s="12"/>
      <c r="D193" s="39"/>
      <c r="E193" s="39"/>
      <c r="F193" s="39"/>
      <c r="G193" s="39"/>
      <c r="H193" s="39"/>
      <c r="I193" s="39"/>
      <c r="J193" s="39"/>
      <c r="K193" s="39"/>
    </row>
    <row r="194" spans="1:11" ht="24" customHeight="1" x14ac:dyDescent="0.25">
      <c r="A194" s="55">
        <v>1</v>
      </c>
      <c r="B194" s="51" t="s">
        <v>124</v>
      </c>
      <c r="C194" s="56"/>
      <c r="D194" s="57">
        <f>'[1]Table by district'!D454</f>
        <v>8.1199999999999992</v>
      </c>
      <c r="E194" s="57">
        <f>'[1]Table by district'!E454</f>
        <v>5.34</v>
      </c>
      <c r="F194" s="57">
        <f>'[1]Table by district'!F454</f>
        <v>6.61</v>
      </c>
      <c r="G194" s="57">
        <f>'[1]Table by district'!G454</f>
        <v>9.09</v>
      </c>
      <c r="H194" s="57">
        <f>'[1]Table by district'!H454</f>
        <v>8.06</v>
      </c>
      <c r="I194" s="57">
        <f>'[1]Table by district'!I454</f>
        <v>10.6</v>
      </c>
      <c r="J194" s="57">
        <f>'[1]Table by district'!J454</f>
        <v>1.91</v>
      </c>
      <c r="K194" s="57">
        <f>'[1]Table by district'!K454</f>
        <v>15.24</v>
      </c>
    </row>
    <row r="195" spans="1:11" ht="24" customHeight="1" x14ac:dyDescent="0.25">
      <c r="A195" s="58">
        <v>2</v>
      </c>
      <c r="B195" s="51" t="s">
        <v>125</v>
      </c>
      <c r="C195" s="56"/>
      <c r="D195" s="57">
        <f>'[1]Table by district'!D455</f>
        <v>183</v>
      </c>
      <c r="E195" s="57">
        <f>'[1]Table by district'!E455</f>
        <v>34</v>
      </c>
      <c r="F195" s="57">
        <f>'[1]Table by district'!F455</f>
        <v>37</v>
      </c>
      <c r="G195" s="57">
        <f>'[1]Table by district'!G455</f>
        <v>39</v>
      </c>
      <c r="H195" s="57">
        <f>'[1]Table by district'!H455</f>
        <v>16</v>
      </c>
      <c r="I195" s="57">
        <f>'[1]Table by district'!I455</f>
        <v>31</v>
      </c>
      <c r="J195" s="57">
        <f>'[1]Table by district'!J455</f>
        <v>24</v>
      </c>
      <c r="K195" s="57">
        <f>'[1]Table by district'!K455</f>
        <v>2</v>
      </c>
    </row>
    <row r="196" spans="1:11" ht="24" customHeight="1" x14ac:dyDescent="0.25">
      <c r="A196" s="18">
        <v>3</v>
      </c>
      <c r="B196" s="59" t="s">
        <v>126</v>
      </c>
      <c r="C196" s="60"/>
      <c r="D196" s="17">
        <f>SUM('[1]Table by district'!D456:D457)</f>
        <v>5740</v>
      </c>
      <c r="E196" s="17">
        <f>SUM('[1]Table by district'!E456:E457)</f>
        <v>936</v>
      </c>
      <c r="F196" s="17">
        <f>SUM('[1]Table by district'!F456:F457)</f>
        <v>1140</v>
      </c>
      <c r="G196" s="17">
        <f>SUM('[1]Table by district'!G456:G457)</f>
        <v>772</v>
      </c>
      <c r="H196" s="17">
        <f>SUM('[1]Table by district'!H456:H457)</f>
        <v>732</v>
      </c>
      <c r="I196" s="17">
        <f>SUM('[1]Table by district'!I456:I457)</f>
        <v>1170</v>
      </c>
      <c r="J196" s="17">
        <f>SUM('[1]Table by district'!J456:J457)</f>
        <v>364</v>
      </c>
      <c r="K196" s="17">
        <f>SUM('[1]Table by district'!K456:K457)</f>
        <v>626</v>
      </c>
    </row>
    <row r="197" spans="1:11" ht="24" customHeight="1" x14ac:dyDescent="0.25">
      <c r="A197" s="14">
        <v>4</v>
      </c>
      <c r="B197" s="59" t="s">
        <v>127</v>
      </c>
      <c r="C197" s="50"/>
      <c r="D197" s="21">
        <f>SUM('[1]Table by district'!D458:D459)</f>
        <v>5749</v>
      </c>
      <c r="E197" s="21">
        <f>SUM('[1]Table by district'!E458:E459)</f>
        <v>938</v>
      </c>
      <c r="F197" s="21">
        <f>SUM('[1]Table by district'!F458:F459)</f>
        <v>1140</v>
      </c>
      <c r="G197" s="21">
        <f>SUM('[1]Table by district'!G458:G459)</f>
        <v>773</v>
      </c>
      <c r="H197" s="21">
        <f>SUM('[1]Table by district'!H458:H459)</f>
        <v>734</v>
      </c>
      <c r="I197" s="21">
        <f>SUM('[1]Table by district'!I458:I459)</f>
        <v>1173</v>
      </c>
      <c r="J197" s="21">
        <f>SUM('[1]Table by district'!J458:J459)</f>
        <v>364</v>
      </c>
      <c r="K197" s="21">
        <f>SUM('[1]Table by district'!K458:K459)</f>
        <v>627</v>
      </c>
    </row>
    <row r="198" spans="1:11" ht="24" customHeight="1" x14ac:dyDescent="0.25">
      <c r="A198" s="18">
        <v>5</v>
      </c>
      <c r="B198" s="59" t="s">
        <v>128</v>
      </c>
      <c r="C198" s="50"/>
      <c r="D198" s="21">
        <f>SUM('[1]Table by district'!D460:D461)</f>
        <v>1</v>
      </c>
      <c r="E198" s="21">
        <f>SUM('[1]Table by district'!E460:E461)</f>
        <v>0</v>
      </c>
      <c r="F198" s="21">
        <f>SUM('[1]Table by district'!F460:F461)</f>
        <v>0</v>
      </c>
      <c r="G198" s="21">
        <f>SUM('[1]Table by district'!G460:G461)</f>
        <v>0</v>
      </c>
      <c r="H198" s="21">
        <f>SUM('[1]Table by district'!H460:H461)</f>
        <v>0</v>
      </c>
      <c r="I198" s="21">
        <f>SUM('[1]Table by district'!I460:I461)</f>
        <v>1</v>
      </c>
      <c r="J198" s="21">
        <f>SUM('[1]Table by district'!J460:J461)</f>
        <v>0</v>
      </c>
      <c r="K198" s="21">
        <f>SUM('[1]Table by district'!K460:K461)</f>
        <v>0</v>
      </c>
    </row>
    <row r="199" spans="1:11" ht="24" customHeight="1" x14ac:dyDescent="0.25">
      <c r="A199" s="18">
        <v>6</v>
      </c>
      <c r="B199" s="59" t="s">
        <v>129</v>
      </c>
      <c r="C199" s="50"/>
      <c r="D199" s="21">
        <f>SUM('[1]Table by district'!D462:D463)</f>
        <v>15</v>
      </c>
      <c r="E199" s="21">
        <f>SUM('[1]Table by district'!E462:E463)</f>
        <v>2</v>
      </c>
      <c r="F199" s="21">
        <f>SUM('[1]Table by district'!F462:F463)</f>
        <v>3</v>
      </c>
      <c r="G199" s="21">
        <f>SUM('[1]Table by district'!G462:G463)</f>
        <v>3</v>
      </c>
      <c r="H199" s="21">
        <f>SUM('[1]Table by district'!H462:H463)</f>
        <v>2</v>
      </c>
      <c r="I199" s="21">
        <f>SUM('[1]Table by district'!I462:I463)</f>
        <v>1</v>
      </c>
      <c r="J199" s="21">
        <f>SUM('[1]Table by district'!J462:J463)</f>
        <v>0</v>
      </c>
      <c r="K199" s="21">
        <f>SUM('[1]Table by district'!K462:K463)</f>
        <v>4</v>
      </c>
    </row>
    <row r="200" spans="1:11" ht="24" customHeight="1" x14ac:dyDescent="0.25">
      <c r="A200" s="14">
        <v>7</v>
      </c>
      <c r="B200" s="59" t="s">
        <v>130</v>
      </c>
      <c r="C200" s="50"/>
      <c r="D200" s="21">
        <f>'[1]Table by district'!D464</f>
        <v>5254</v>
      </c>
      <c r="E200" s="21">
        <f>'[1]Table by district'!E464</f>
        <v>859</v>
      </c>
      <c r="F200" s="21">
        <f>'[1]Table by district'!F464</f>
        <v>1127</v>
      </c>
      <c r="G200" s="21">
        <f>'[1]Table by district'!G464</f>
        <v>768</v>
      </c>
      <c r="H200" s="21">
        <f>'[1]Table by district'!H464</f>
        <v>546</v>
      </c>
      <c r="I200" s="21">
        <f>'[1]Table by district'!I464</f>
        <v>1125</v>
      </c>
      <c r="J200" s="21">
        <f>'[1]Table by district'!J464</f>
        <v>355</v>
      </c>
      <c r="K200" s="21">
        <f>'[1]Table by district'!K464</f>
        <v>474</v>
      </c>
    </row>
    <row r="201" spans="1:11" ht="24" customHeight="1" x14ac:dyDescent="0.25">
      <c r="A201" s="18">
        <v>8</v>
      </c>
      <c r="B201" s="59" t="s">
        <v>131</v>
      </c>
      <c r="C201" s="50"/>
      <c r="D201" s="21">
        <f>'[1]Table by district'!D465</f>
        <v>2544</v>
      </c>
      <c r="E201" s="21">
        <f>'[1]Table by district'!E465</f>
        <v>422</v>
      </c>
      <c r="F201" s="21">
        <f>'[1]Table by district'!F465</f>
        <v>407</v>
      </c>
      <c r="G201" s="21">
        <f>'[1]Table by district'!G465</f>
        <v>317</v>
      </c>
      <c r="H201" s="21">
        <f>'[1]Table by district'!H465</f>
        <v>367</v>
      </c>
      <c r="I201" s="21">
        <f>'[1]Table by district'!I465</f>
        <v>560</v>
      </c>
      <c r="J201" s="21">
        <f>'[1]Table by district'!J465</f>
        <v>174</v>
      </c>
      <c r="K201" s="21">
        <f>'[1]Table by district'!K465</f>
        <v>297</v>
      </c>
    </row>
    <row r="202" spans="1:11" ht="24" customHeight="1" x14ac:dyDescent="0.25">
      <c r="A202" s="18">
        <v>9</v>
      </c>
      <c r="B202" s="59" t="s">
        <v>132</v>
      </c>
      <c r="C202" s="50"/>
      <c r="D202" s="21">
        <f>'[1]Table by district'!D466</f>
        <v>2499</v>
      </c>
      <c r="E202" s="21">
        <f>'[1]Table by district'!E466</f>
        <v>415</v>
      </c>
      <c r="F202" s="21">
        <f>'[1]Table by district'!F466</f>
        <v>403</v>
      </c>
      <c r="G202" s="21">
        <f>'[1]Table by district'!G466</f>
        <v>309</v>
      </c>
      <c r="H202" s="21">
        <f>'[1]Table by district'!H466</f>
        <v>348</v>
      </c>
      <c r="I202" s="21">
        <f>'[1]Table by district'!I466</f>
        <v>560</v>
      </c>
      <c r="J202" s="21">
        <f>'[1]Table by district'!J466</f>
        <v>174</v>
      </c>
      <c r="K202" s="21">
        <f>'[1]Table by district'!K466</f>
        <v>290</v>
      </c>
    </row>
    <row r="203" spans="1:11" ht="24" customHeight="1" x14ac:dyDescent="0.25">
      <c r="B203" s="49" t="str">
        <f>'[1]Table by district'!A467</f>
        <v>២៤. ការប្រើប្រាស់ទឹកនិងអនាម័យ</v>
      </c>
      <c r="C203" s="12"/>
      <c r="D203" s="39"/>
      <c r="E203" s="39"/>
      <c r="F203" s="39"/>
      <c r="G203" s="39"/>
      <c r="H203" s="39"/>
      <c r="I203" s="39"/>
      <c r="J203" s="39"/>
      <c r="K203" s="39"/>
    </row>
    <row r="204" spans="1:11" ht="24" customHeight="1" x14ac:dyDescent="0.25">
      <c r="A204" s="55">
        <v>1</v>
      </c>
      <c r="B204" s="59" t="s">
        <v>133</v>
      </c>
      <c r="C204" s="56"/>
      <c r="D204" s="21">
        <f>SUM('[1]Table by district'!D468,'[1]Table by district'!D469,'[1]Table by district'!D470,'[1]Table by district'!D473)</f>
        <v>90530</v>
      </c>
      <c r="E204" s="21">
        <f>SUM('[1]Table by district'!E468,'[1]Table by district'!E469,'[1]Table by district'!E470,'[1]Table by district'!E473)</f>
        <v>14357</v>
      </c>
      <c r="F204" s="21">
        <f>SUM('[1]Table by district'!F468,'[1]Table by district'!F469,'[1]Table by district'!F470,'[1]Table by district'!F473)</f>
        <v>17525</v>
      </c>
      <c r="G204" s="21">
        <f>SUM('[1]Table by district'!G468,'[1]Table by district'!G469,'[1]Table by district'!G470,'[1]Table by district'!G473)</f>
        <v>16412</v>
      </c>
      <c r="H204" s="21">
        <f>SUM('[1]Table by district'!H468,'[1]Table by district'!H469,'[1]Table by district'!H470,'[1]Table by district'!H473)</f>
        <v>6137</v>
      </c>
      <c r="I204" s="21">
        <f>SUM('[1]Table by district'!I468,'[1]Table by district'!I469,'[1]Table by district'!I470,'[1]Table by district'!I473)</f>
        <v>20192</v>
      </c>
      <c r="J204" s="21">
        <f>SUM('[1]Table by district'!J468,'[1]Table by district'!J469,'[1]Table by district'!J470,'[1]Table by district'!J473)</f>
        <v>8757</v>
      </c>
      <c r="K204" s="21">
        <f>SUM('[1]Table by district'!K468,'[1]Table by district'!K469,'[1]Table by district'!K470,'[1]Table by district'!K473)</f>
        <v>7150</v>
      </c>
    </row>
    <row r="205" spans="1:11" ht="24" customHeight="1" x14ac:dyDescent="0.25">
      <c r="A205" s="58">
        <v>2</v>
      </c>
      <c r="B205" s="59" t="s">
        <v>134</v>
      </c>
      <c r="C205" s="56"/>
      <c r="D205" s="21">
        <f>SUM('[1]Table by district'!D471,'[1]Table by district'!D472,'[1]Table by district'!D474)</f>
        <v>19965</v>
      </c>
      <c r="E205" s="21">
        <f>SUM('[1]Table by district'!E471,'[1]Table by district'!E472,'[1]Table by district'!E474)</f>
        <v>922</v>
      </c>
      <c r="F205" s="21">
        <f>SUM('[1]Table by district'!F471,'[1]Table by district'!F472,'[1]Table by district'!F474)</f>
        <v>2018</v>
      </c>
      <c r="G205" s="21">
        <f>SUM('[1]Table by district'!G471,'[1]Table by district'!G472,'[1]Table by district'!G474)</f>
        <v>2174</v>
      </c>
      <c r="H205" s="21">
        <f>SUM('[1]Table by district'!H471,'[1]Table by district'!H472,'[1]Table by district'!H474)</f>
        <v>5069</v>
      </c>
      <c r="I205" s="21">
        <f>SUM('[1]Table by district'!I471,'[1]Table by district'!I472,'[1]Table by district'!I474)</f>
        <v>5520</v>
      </c>
      <c r="J205" s="21">
        <f>SUM('[1]Table by district'!J471,'[1]Table by district'!J472,'[1]Table by district'!J474)</f>
        <v>132</v>
      </c>
      <c r="K205" s="21">
        <f>SUM('[1]Table by district'!K471,'[1]Table by district'!K472,'[1]Table by district'!K474)</f>
        <v>4130</v>
      </c>
    </row>
    <row r="206" spans="1:11" ht="24" customHeight="1" x14ac:dyDescent="0.25">
      <c r="A206" s="18">
        <v>3</v>
      </c>
      <c r="B206" s="61" t="s">
        <v>135</v>
      </c>
      <c r="C206" s="56"/>
      <c r="D206" s="44">
        <f>SUM(D204:D205)</f>
        <v>110495</v>
      </c>
      <c r="E206" s="44">
        <f t="shared" ref="E206:K206" si="32">SUM(E204:E205)</f>
        <v>15279</v>
      </c>
      <c r="F206" s="44">
        <f t="shared" si="32"/>
        <v>19543</v>
      </c>
      <c r="G206" s="44">
        <f t="shared" si="32"/>
        <v>18586</v>
      </c>
      <c r="H206" s="44">
        <f t="shared" si="32"/>
        <v>11206</v>
      </c>
      <c r="I206" s="44">
        <f t="shared" si="32"/>
        <v>25712</v>
      </c>
      <c r="J206" s="44">
        <f t="shared" si="32"/>
        <v>8889</v>
      </c>
      <c r="K206" s="44">
        <f t="shared" si="32"/>
        <v>11280</v>
      </c>
    </row>
    <row r="207" spans="1:11" ht="24" customHeight="1" x14ac:dyDescent="0.25">
      <c r="A207" s="55">
        <v>4</v>
      </c>
      <c r="B207" s="59" t="s">
        <v>136</v>
      </c>
      <c r="C207" s="56"/>
      <c r="D207" s="21">
        <f>SUM('[1]Table by district'!D475:D478)</f>
        <v>21152</v>
      </c>
      <c r="E207" s="21">
        <f>SUM('[1]Table by district'!E475:E478)</f>
        <v>2273</v>
      </c>
      <c r="F207" s="21">
        <f>SUM('[1]Table by district'!F475:F478)</f>
        <v>2520</v>
      </c>
      <c r="G207" s="21">
        <f>SUM('[1]Table by district'!G475:G478)</f>
        <v>3312</v>
      </c>
      <c r="H207" s="21">
        <f>SUM('[1]Table by district'!H475:H478)</f>
        <v>328</v>
      </c>
      <c r="I207" s="21">
        <f>SUM('[1]Table by district'!I475:I478)</f>
        <v>10377</v>
      </c>
      <c r="J207" s="21">
        <f>SUM('[1]Table by district'!J475:J478)</f>
        <v>348</v>
      </c>
      <c r="K207" s="21">
        <f>SUM('[1]Table by district'!K475:K478)</f>
        <v>1994</v>
      </c>
    </row>
    <row r="208" spans="1:11" ht="24" customHeight="1" x14ac:dyDescent="0.25">
      <c r="A208" s="58">
        <v>5</v>
      </c>
      <c r="B208" s="59" t="s">
        <v>137</v>
      </c>
      <c r="C208" s="56"/>
      <c r="D208" s="21">
        <f>SUM('[1]Table by district'!D479:D481)</f>
        <v>95301</v>
      </c>
      <c r="E208" s="21">
        <f>SUM('[1]Table by district'!E479:E481)</f>
        <v>14043</v>
      </c>
      <c r="F208" s="21">
        <f>SUM('[1]Table by district'!F479:F481)</f>
        <v>18720</v>
      </c>
      <c r="G208" s="21">
        <f>SUM('[1]Table by district'!G479:G481)</f>
        <v>17558</v>
      </c>
      <c r="H208" s="21">
        <f>SUM('[1]Table by district'!H479:H481)</f>
        <v>8639</v>
      </c>
      <c r="I208" s="21">
        <f>SUM('[1]Table by district'!I479:I481)</f>
        <v>21419</v>
      </c>
      <c r="J208" s="21">
        <f>SUM('[1]Table by district'!J479:J481)</f>
        <v>8817</v>
      </c>
      <c r="K208" s="21">
        <f>SUM('[1]Table by district'!K479:K481)</f>
        <v>6105</v>
      </c>
    </row>
    <row r="209" spans="1:11" ht="24" customHeight="1" x14ac:dyDescent="0.25">
      <c r="A209" s="18">
        <v>6</v>
      </c>
      <c r="B209" s="59" t="s">
        <v>138</v>
      </c>
      <c r="C209" s="56"/>
      <c r="D209" s="21">
        <f>SUM('[1]Table by district'!D482:D483)</f>
        <v>44181</v>
      </c>
      <c r="E209" s="21">
        <f>SUM('[1]Table by district'!E482:E483)</f>
        <v>8830</v>
      </c>
      <c r="F209" s="21">
        <f>SUM('[1]Table by district'!F482:F483)</f>
        <v>7052</v>
      </c>
      <c r="G209" s="21">
        <f>SUM('[1]Table by district'!G482:G483)</f>
        <v>10399</v>
      </c>
      <c r="H209" s="21">
        <f>SUM('[1]Table by district'!H482:H483)</f>
        <v>2069</v>
      </c>
      <c r="I209" s="21">
        <f>SUM('[1]Table by district'!I482:I483)</f>
        <v>10683</v>
      </c>
      <c r="J209" s="21">
        <f>SUM('[1]Table by district'!J482:J483)</f>
        <v>1651</v>
      </c>
      <c r="K209" s="21">
        <f>SUM('[1]Table by district'!K482:K483)</f>
        <v>3497</v>
      </c>
    </row>
    <row r="210" spans="1:11" ht="24" customHeight="1" x14ac:dyDescent="0.25">
      <c r="A210" s="55">
        <v>7</v>
      </c>
      <c r="B210" s="59" t="s">
        <v>139</v>
      </c>
      <c r="C210" s="56"/>
      <c r="D210" s="21">
        <f>'[1]Table by district'!D484</f>
        <v>86014</v>
      </c>
      <c r="E210" s="21">
        <f>'[1]Table by district'!E484</f>
        <v>13470</v>
      </c>
      <c r="F210" s="21">
        <f>'[1]Table by district'!F484</f>
        <v>14271</v>
      </c>
      <c r="G210" s="21">
        <f>'[1]Table by district'!G484</f>
        <v>16998</v>
      </c>
      <c r="H210" s="21">
        <f>'[1]Table by district'!H484</f>
        <v>8026</v>
      </c>
      <c r="I210" s="21">
        <f>'[1]Table by district'!I484</f>
        <v>19371</v>
      </c>
      <c r="J210" s="21">
        <f>'[1]Table by district'!J484</f>
        <v>8703</v>
      </c>
      <c r="K210" s="21">
        <f>'[1]Table by district'!K484</f>
        <v>5175</v>
      </c>
    </row>
    <row r="211" spans="1:11" ht="24" customHeight="1" x14ac:dyDescent="0.25">
      <c r="A211" s="58">
        <v>8</v>
      </c>
      <c r="B211" s="59" t="s">
        <v>140</v>
      </c>
      <c r="C211" s="56"/>
      <c r="D211" s="21">
        <f>SUM('[1]Table by district'!D485:D486)</f>
        <v>86014</v>
      </c>
      <c r="E211" s="21">
        <f>SUM('[1]Table by district'!E485:E486)</f>
        <v>13470</v>
      </c>
      <c r="F211" s="21">
        <f>SUM('[1]Table by district'!F485:F486)</f>
        <v>14271</v>
      </c>
      <c r="G211" s="21">
        <f>SUM('[1]Table by district'!G485:G486)</f>
        <v>16998</v>
      </c>
      <c r="H211" s="21">
        <f>SUM('[1]Table by district'!H485:H486)</f>
        <v>8026</v>
      </c>
      <c r="I211" s="21">
        <f>SUM('[1]Table by district'!I485:I486)</f>
        <v>19371</v>
      </c>
      <c r="J211" s="21">
        <f>SUM('[1]Table by district'!J485:J486)</f>
        <v>8703</v>
      </c>
      <c r="K211" s="21">
        <f>SUM('[1]Table by district'!K485:K486)</f>
        <v>5175</v>
      </c>
    </row>
    <row r="212" spans="1:11" ht="24" customHeight="1" x14ac:dyDescent="0.25">
      <c r="B212" s="49" t="str">
        <f>'[1]Table by district'!A487</f>
        <v>២៥. ជនងាយរងគ្រោះឬជួបការលំបាក</v>
      </c>
      <c r="C212" s="12"/>
      <c r="D212" s="39"/>
      <c r="E212" s="39"/>
      <c r="F212" s="39"/>
      <c r="G212" s="39"/>
      <c r="H212" s="39"/>
      <c r="I212" s="39"/>
      <c r="J212" s="39"/>
      <c r="K212" s="39"/>
    </row>
    <row r="213" spans="1:11" ht="24" customHeight="1" x14ac:dyDescent="0.25">
      <c r="A213" s="55">
        <v>1</v>
      </c>
      <c r="B213" s="15" t="s">
        <v>141</v>
      </c>
      <c r="C213" s="16"/>
      <c r="D213" s="17">
        <f>SUM('[1]Table by district'!D488,'[1]Table by district'!D491,'[1]Table by district'!D494,'[1]Table by district'!D501,'[1]Table by district'!D502)</f>
        <v>2001</v>
      </c>
      <c r="E213" s="17">
        <f>SUM('[1]Table by district'!E488,'[1]Table by district'!E491,'[1]Table by district'!E494,'[1]Table by district'!E501,'[1]Table by district'!E502)</f>
        <v>177</v>
      </c>
      <c r="F213" s="17">
        <f>SUM('[1]Table by district'!F488,'[1]Table by district'!F491,'[1]Table by district'!F494,'[1]Table by district'!F501,'[1]Table by district'!F502)</f>
        <v>487</v>
      </c>
      <c r="G213" s="17">
        <f>SUM('[1]Table by district'!G488,'[1]Table by district'!G491,'[1]Table by district'!G494,'[1]Table by district'!G501,'[1]Table by district'!G502)</f>
        <v>90</v>
      </c>
      <c r="H213" s="17">
        <f>SUM('[1]Table by district'!H488,'[1]Table by district'!H491,'[1]Table by district'!H494,'[1]Table by district'!H501,'[1]Table by district'!H502)</f>
        <v>311</v>
      </c>
      <c r="I213" s="17">
        <f>SUM('[1]Table by district'!I488,'[1]Table by district'!I491,'[1]Table by district'!I494,'[1]Table by district'!I501,'[1]Table by district'!I502)</f>
        <v>285</v>
      </c>
      <c r="J213" s="17">
        <f>SUM('[1]Table by district'!J488,'[1]Table by district'!J491,'[1]Table by district'!J494,'[1]Table by district'!J501,'[1]Table by district'!J502)</f>
        <v>380</v>
      </c>
      <c r="K213" s="17">
        <f>SUM('[1]Table by district'!K488,'[1]Table by district'!K491,'[1]Table by district'!K494,'[1]Table by district'!K501,'[1]Table by district'!K502)</f>
        <v>271</v>
      </c>
    </row>
    <row r="214" spans="1:11" ht="24" customHeight="1" x14ac:dyDescent="0.25">
      <c r="A214" s="58">
        <v>2</v>
      </c>
      <c r="B214" s="59" t="s">
        <v>142</v>
      </c>
      <c r="C214" s="20"/>
      <c r="D214" s="21">
        <f>SUM('[1]Table by district'!D489,'[1]Table by district'!D492,'[1]Table by district'!D495,'[1]Table by district'!D498,'[1]Table by district'!D503,'[1]Table by district'!D505,'[1]Table by district'!D506,'[1]Table by district'!D504)</f>
        <v>2291</v>
      </c>
      <c r="E214" s="21">
        <f>SUM('[1]Table by district'!E489,'[1]Table by district'!E492,'[1]Table by district'!E495,'[1]Table by district'!E498,'[1]Table by district'!E503,'[1]Table by district'!E505,'[1]Table by district'!E506,'[1]Table by district'!E504)</f>
        <v>394</v>
      </c>
      <c r="F214" s="21">
        <f>SUM('[1]Table by district'!F489,'[1]Table by district'!F492,'[1]Table by district'!F495,'[1]Table by district'!F498,'[1]Table by district'!F503,'[1]Table by district'!F505,'[1]Table by district'!F506,'[1]Table by district'!F504)</f>
        <v>412</v>
      </c>
      <c r="G214" s="21">
        <f>SUM('[1]Table by district'!G489,'[1]Table by district'!G492,'[1]Table by district'!G495,'[1]Table by district'!G498,'[1]Table by district'!G503,'[1]Table by district'!G505,'[1]Table by district'!G506,'[1]Table by district'!G504)</f>
        <v>263</v>
      </c>
      <c r="H214" s="21">
        <f>SUM('[1]Table by district'!H489,'[1]Table by district'!H492,'[1]Table by district'!H495,'[1]Table by district'!H498,'[1]Table by district'!H503,'[1]Table by district'!H505,'[1]Table by district'!H506,'[1]Table by district'!H504)</f>
        <v>324</v>
      </c>
      <c r="I214" s="21">
        <f>SUM('[1]Table by district'!I489,'[1]Table by district'!I492,'[1]Table by district'!I495,'[1]Table by district'!I498,'[1]Table by district'!I503,'[1]Table by district'!I505,'[1]Table by district'!I506,'[1]Table by district'!I504)</f>
        <v>376</v>
      </c>
      <c r="J214" s="21">
        <f>SUM('[1]Table by district'!J489,'[1]Table by district'!J492,'[1]Table by district'!J495,'[1]Table by district'!J498,'[1]Table by district'!J503,'[1]Table by district'!J505,'[1]Table by district'!J506,'[1]Table by district'!J504)</f>
        <v>81</v>
      </c>
      <c r="K214" s="21">
        <f>SUM('[1]Table by district'!K489,'[1]Table by district'!K492,'[1]Table by district'!K495,'[1]Table by district'!K498,'[1]Table by district'!K503,'[1]Table by district'!K505,'[1]Table by district'!K506,'[1]Table by district'!K504)</f>
        <v>441</v>
      </c>
    </row>
    <row r="215" spans="1:11" ht="24" customHeight="1" x14ac:dyDescent="0.25">
      <c r="A215" s="18">
        <v>3</v>
      </c>
      <c r="B215" s="59" t="s">
        <v>143</v>
      </c>
      <c r="C215" s="20"/>
      <c r="D215" s="21">
        <f>SUM('[1]Table by district'!D490,'[1]Table by district'!D493,'[1]Table by district'!D496,'[1]Table by district'!D499)</f>
        <v>640</v>
      </c>
      <c r="E215" s="21">
        <f>SUM('[1]Table by district'!E490,'[1]Table by district'!E493,'[1]Table by district'!E496,'[1]Table by district'!E499)</f>
        <v>54</v>
      </c>
      <c r="F215" s="21">
        <f>SUM('[1]Table by district'!F490,'[1]Table by district'!F493,'[1]Table by district'!F496,'[1]Table by district'!F499)</f>
        <v>128</v>
      </c>
      <c r="G215" s="21">
        <f>SUM('[1]Table by district'!G490,'[1]Table by district'!G493,'[1]Table by district'!G496,'[1]Table by district'!G499)</f>
        <v>62</v>
      </c>
      <c r="H215" s="21">
        <f>SUM('[1]Table by district'!H490,'[1]Table by district'!H493,'[1]Table by district'!H496,'[1]Table by district'!H499)</f>
        <v>110</v>
      </c>
      <c r="I215" s="21">
        <f>SUM('[1]Table by district'!I490,'[1]Table by district'!I493,'[1]Table by district'!I496,'[1]Table by district'!I499)</f>
        <v>124</v>
      </c>
      <c r="J215" s="21">
        <f>SUM('[1]Table by district'!J490,'[1]Table by district'!J493,'[1]Table by district'!J496,'[1]Table by district'!J499)</f>
        <v>24</v>
      </c>
      <c r="K215" s="21">
        <f>SUM('[1]Table by district'!K490,'[1]Table by district'!K493,'[1]Table by district'!K496,'[1]Table by district'!K499)</f>
        <v>138</v>
      </c>
    </row>
    <row r="216" spans="1:11" ht="24" customHeight="1" x14ac:dyDescent="0.25">
      <c r="A216" s="55">
        <v>4</v>
      </c>
      <c r="B216" s="59" t="s">
        <v>144</v>
      </c>
      <c r="C216" s="20"/>
      <c r="D216" s="21">
        <f>SUM('[1]Table by district'!D497,'[1]Table by district'!D500)</f>
        <v>480</v>
      </c>
      <c r="E216" s="21">
        <f>SUM('[1]Table by district'!E497,'[1]Table by district'!E500)</f>
        <v>92</v>
      </c>
      <c r="F216" s="21">
        <f>SUM('[1]Table by district'!F497,'[1]Table by district'!F500)</f>
        <v>106</v>
      </c>
      <c r="G216" s="21">
        <f>SUM('[1]Table by district'!G497,'[1]Table by district'!G500)</f>
        <v>64</v>
      </c>
      <c r="H216" s="21">
        <f>SUM('[1]Table by district'!H497,'[1]Table by district'!H500)</f>
        <v>35</v>
      </c>
      <c r="I216" s="21">
        <f>SUM('[1]Table by district'!I497,'[1]Table by district'!I500)</f>
        <v>121</v>
      </c>
      <c r="J216" s="21">
        <f>SUM('[1]Table by district'!J497,'[1]Table by district'!J500)</f>
        <v>14</v>
      </c>
      <c r="K216" s="21">
        <f>SUM('[1]Table by district'!K497,'[1]Table by district'!K500)</f>
        <v>48</v>
      </c>
    </row>
    <row r="217" spans="1:11" ht="24" customHeight="1" x14ac:dyDescent="0.25">
      <c r="A217" s="58">
        <v>5</v>
      </c>
      <c r="B217" s="59" t="s">
        <v>145</v>
      </c>
      <c r="C217" s="20"/>
      <c r="D217" s="21">
        <f>SUM('[1]Table by district'!D507:D514)</f>
        <v>10</v>
      </c>
      <c r="E217" s="21">
        <f>SUM('[1]Table by district'!E507:E514)</f>
        <v>2</v>
      </c>
      <c r="F217" s="21">
        <f>SUM('[1]Table by district'!F507:F514)</f>
        <v>3</v>
      </c>
      <c r="G217" s="21">
        <f>SUM('[1]Table by district'!G507:G514)</f>
        <v>1</v>
      </c>
      <c r="H217" s="21">
        <f>SUM('[1]Table by district'!H507:H514)</f>
        <v>1</v>
      </c>
      <c r="I217" s="21">
        <f>SUM('[1]Table by district'!I507:I514)</f>
        <v>1</v>
      </c>
      <c r="J217" s="21">
        <f>SUM('[1]Table by district'!J507:J514)</f>
        <v>1</v>
      </c>
      <c r="K217" s="21">
        <f>SUM('[1]Table by district'!K507:K514)</f>
        <v>1</v>
      </c>
    </row>
    <row r="218" spans="1:11" ht="24" customHeight="1" x14ac:dyDescent="0.25">
      <c r="A218" s="18">
        <v>6</v>
      </c>
      <c r="B218" s="59" t="s">
        <v>146</v>
      </c>
      <c r="C218" s="20"/>
      <c r="D218" s="21">
        <f>SUM('[1]Table by district'!D515,'[1]Table by district'!D517,'[1]Table by district'!D519,'[1]Table by district'!D521,'[1]Table by district'!D529,'[1]Table by district'!D523)</f>
        <v>4738</v>
      </c>
      <c r="E218" s="21">
        <f>SUM('[1]Table by district'!E515,'[1]Table by district'!E517,'[1]Table by district'!E519,'[1]Table by district'!E521,'[1]Table by district'!E529,'[1]Table by district'!E523)</f>
        <v>925</v>
      </c>
      <c r="F218" s="21">
        <f>SUM('[1]Table by district'!F515,'[1]Table by district'!F517,'[1]Table by district'!F519,'[1]Table by district'!F521,'[1]Table by district'!F529,'[1]Table by district'!F523)</f>
        <v>1089</v>
      </c>
      <c r="G218" s="21">
        <f>SUM('[1]Table by district'!G515,'[1]Table by district'!G517,'[1]Table by district'!G519,'[1]Table by district'!G521,'[1]Table by district'!G529,'[1]Table by district'!G523)</f>
        <v>851</v>
      </c>
      <c r="H218" s="21">
        <f>SUM('[1]Table by district'!H515,'[1]Table by district'!H517,'[1]Table by district'!H519,'[1]Table by district'!H521,'[1]Table by district'!H529,'[1]Table by district'!H523)</f>
        <v>515</v>
      </c>
      <c r="I218" s="21">
        <f>SUM('[1]Table by district'!I515,'[1]Table by district'!I517,'[1]Table by district'!I519,'[1]Table by district'!I521,'[1]Table by district'!I529,'[1]Table by district'!I523)</f>
        <v>713</v>
      </c>
      <c r="J218" s="21">
        <f>SUM('[1]Table by district'!J515,'[1]Table by district'!J517,'[1]Table by district'!J519,'[1]Table by district'!J521,'[1]Table by district'!J529,'[1]Table by district'!J523)</f>
        <v>408</v>
      </c>
      <c r="K218" s="21">
        <f>SUM('[1]Table by district'!K515,'[1]Table by district'!K517,'[1]Table by district'!K519,'[1]Table by district'!K521,'[1]Table by district'!K529,'[1]Table by district'!K523)</f>
        <v>237</v>
      </c>
    </row>
    <row r="219" spans="1:11" ht="24" customHeight="1" x14ac:dyDescent="0.25">
      <c r="A219" s="55">
        <v>7</v>
      </c>
      <c r="B219" s="59" t="s">
        <v>147</v>
      </c>
      <c r="C219" s="20"/>
      <c r="D219" s="21">
        <f>SUM('[1]Table by district'!D516,'[1]Table by district'!D518,'[1]Table by district'!D520,'[1]Table by district'!D522,'[1]Table by district'!D530,'[1]Table by district'!D524,'[1]Table by district'!D526,'[1]Table by district'!D528)</f>
        <v>3292</v>
      </c>
      <c r="E219" s="21">
        <f>SUM('[1]Table by district'!E516,'[1]Table by district'!E518,'[1]Table by district'!E520,'[1]Table by district'!E522,'[1]Table by district'!E530,'[1]Table by district'!E524,'[1]Table by district'!E526,'[1]Table by district'!E528)</f>
        <v>709</v>
      </c>
      <c r="F219" s="21">
        <f>SUM('[1]Table by district'!F516,'[1]Table by district'!F518,'[1]Table by district'!F520,'[1]Table by district'!F522,'[1]Table by district'!F530,'[1]Table by district'!F524,'[1]Table by district'!F526,'[1]Table by district'!F528)</f>
        <v>717</v>
      </c>
      <c r="G219" s="21">
        <f>SUM('[1]Table by district'!G516,'[1]Table by district'!G518,'[1]Table by district'!G520,'[1]Table by district'!G522,'[1]Table by district'!G530,'[1]Table by district'!G524,'[1]Table by district'!G526,'[1]Table by district'!G528)</f>
        <v>576</v>
      </c>
      <c r="H219" s="21">
        <f>SUM('[1]Table by district'!H516,'[1]Table by district'!H518,'[1]Table by district'!H520,'[1]Table by district'!H522,'[1]Table by district'!H530,'[1]Table by district'!H524,'[1]Table by district'!H526,'[1]Table by district'!H528)</f>
        <v>316</v>
      </c>
      <c r="I219" s="21">
        <f>SUM('[1]Table by district'!I516,'[1]Table by district'!I518,'[1]Table by district'!I520,'[1]Table by district'!I522,'[1]Table by district'!I530,'[1]Table by district'!I524,'[1]Table by district'!I526,'[1]Table by district'!I528)</f>
        <v>511</v>
      </c>
      <c r="J219" s="21">
        <f>SUM('[1]Table by district'!J516,'[1]Table by district'!J518,'[1]Table by district'!J520,'[1]Table by district'!J522,'[1]Table by district'!J530,'[1]Table by district'!J524,'[1]Table by district'!J526,'[1]Table by district'!J528)</f>
        <v>332</v>
      </c>
      <c r="K219" s="21">
        <f>SUM('[1]Table by district'!K516,'[1]Table by district'!K518,'[1]Table by district'!K520,'[1]Table by district'!K522,'[1]Table by district'!K530,'[1]Table by district'!K524,'[1]Table by district'!K526,'[1]Table by district'!K528)</f>
        <v>131</v>
      </c>
    </row>
    <row r="220" spans="1:11" ht="24" customHeight="1" x14ac:dyDescent="0.25">
      <c r="A220" s="58">
        <v>8</v>
      </c>
      <c r="B220" s="59" t="s">
        <v>148</v>
      </c>
      <c r="C220" s="50"/>
      <c r="D220" s="21">
        <f>SUM('[1]Table by district'!D525,'[1]Table by district'!D527)</f>
        <v>3258</v>
      </c>
      <c r="E220" s="21">
        <f>SUM('[1]Table by district'!E525,'[1]Table by district'!E527)</f>
        <v>678</v>
      </c>
      <c r="F220" s="21">
        <f>SUM('[1]Table by district'!F525,'[1]Table by district'!F527)</f>
        <v>611</v>
      </c>
      <c r="G220" s="21">
        <f>SUM('[1]Table by district'!G525,'[1]Table by district'!G527)</f>
        <v>567</v>
      </c>
      <c r="H220" s="21">
        <f>SUM('[1]Table by district'!H525,'[1]Table by district'!H527)</f>
        <v>358</v>
      </c>
      <c r="I220" s="21">
        <f>SUM('[1]Table by district'!I525,'[1]Table by district'!I527)</f>
        <v>572</v>
      </c>
      <c r="J220" s="21">
        <f>SUM('[1]Table by district'!J525,'[1]Table by district'!J527)</f>
        <v>306</v>
      </c>
      <c r="K220" s="21">
        <f>SUM('[1]Table by district'!K525,'[1]Table by district'!K527)</f>
        <v>166</v>
      </c>
    </row>
    <row r="221" spans="1:11" ht="24" customHeight="1" x14ac:dyDescent="0.25">
      <c r="B221" s="49" t="str">
        <f>'[1]Table by district'!A531</f>
        <v>២៦. ធនធានធម្មជាតិនិងបរិស្ថាន</v>
      </c>
      <c r="C221" s="12"/>
      <c r="D221" s="39"/>
      <c r="E221" s="39"/>
      <c r="F221" s="39"/>
      <c r="G221" s="39"/>
      <c r="H221" s="39"/>
      <c r="I221" s="39"/>
      <c r="J221" s="39"/>
      <c r="K221" s="39"/>
    </row>
    <row r="222" spans="1:11" ht="24" customHeight="1" x14ac:dyDescent="0.25">
      <c r="A222" s="55">
        <v>1</v>
      </c>
      <c r="B222" s="59" t="s">
        <v>149</v>
      </c>
      <c r="C222" s="16"/>
      <c r="D222" s="17">
        <f>SUM('[1]Table by district'!D532,'[1]Table by district'!D534,'[1]Table by district'!D536,'[1]Table by district'!D538)</f>
        <v>2169</v>
      </c>
      <c r="E222" s="17">
        <f>SUM('[1]Table by district'!E532,'[1]Table by district'!E534,'[1]Table by district'!E536,'[1]Table by district'!E538)</f>
        <v>579</v>
      </c>
      <c r="F222" s="17">
        <f>SUM('[1]Table by district'!F532,'[1]Table by district'!F534,'[1]Table by district'!F536,'[1]Table by district'!F538)</f>
        <v>941</v>
      </c>
      <c r="G222" s="17">
        <f>SUM('[1]Table by district'!G532,'[1]Table by district'!G534,'[1]Table by district'!G536,'[1]Table by district'!G538)</f>
        <v>506</v>
      </c>
      <c r="H222" s="17">
        <f>SUM('[1]Table by district'!H532,'[1]Table by district'!H534,'[1]Table by district'!H536,'[1]Table by district'!H538)</f>
        <v>29</v>
      </c>
      <c r="I222" s="17">
        <f>SUM('[1]Table by district'!I532,'[1]Table by district'!I534,'[1]Table by district'!I536,'[1]Table by district'!I538)</f>
        <v>80</v>
      </c>
      <c r="J222" s="17">
        <f>SUM('[1]Table by district'!J532,'[1]Table by district'!J534,'[1]Table by district'!J536,'[1]Table by district'!J538)</f>
        <v>0</v>
      </c>
      <c r="K222" s="17">
        <f>SUM('[1]Table by district'!K532,'[1]Table by district'!K534,'[1]Table by district'!K536,'[1]Table by district'!K538)</f>
        <v>34</v>
      </c>
    </row>
    <row r="223" spans="1:11" ht="24" customHeight="1" x14ac:dyDescent="0.25">
      <c r="A223" s="58">
        <v>2</v>
      </c>
      <c r="B223" s="59" t="s">
        <v>150</v>
      </c>
      <c r="C223" s="20"/>
      <c r="D223" s="21">
        <f>SUM('[1]Table by district'!D533,'[1]Table by district'!D535,'[1]Table by district'!D537,'[1]Table by district'!D539)</f>
        <v>7779</v>
      </c>
      <c r="E223" s="21">
        <f>SUM('[1]Table by district'!E533,'[1]Table by district'!E535,'[1]Table by district'!E537,'[1]Table by district'!E539)</f>
        <v>2461</v>
      </c>
      <c r="F223" s="21">
        <f>SUM('[1]Table by district'!F533,'[1]Table by district'!F535,'[1]Table by district'!F537,'[1]Table by district'!F539)</f>
        <v>2976</v>
      </c>
      <c r="G223" s="21">
        <f>SUM('[1]Table by district'!G533,'[1]Table by district'!G535,'[1]Table by district'!G537,'[1]Table by district'!G539)</f>
        <v>1932</v>
      </c>
      <c r="H223" s="21">
        <f>SUM('[1]Table by district'!H533,'[1]Table by district'!H535,'[1]Table by district'!H537,'[1]Table by district'!H539)</f>
        <v>77</v>
      </c>
      <c r="I223" s="21">
        <f>SUM('[1]Table by district'!I533,'[1]Table by district'!I535,'[1]Table by district'!I537,'[1]Table by district'!I539)</f>
        <v>229</v>
      </c>
      <c r="J223" s="21">
        <f>SUM('[1]Table by district'!J533,'[1]Table by district'!J535,'[1]Table by district'!J537,'[1]Table by district'!J539)</f>
        <v>0</v>
      </c>
      <c r="K223" s="21">
        <f>SUM('[1]Table by district'!K533,'[1]Table by district'!K535,'[1]Table by district'!K537,'[1]Table by district'!K539)</f>
        <v>104</v>
      </c>
    </row>
    <row r="224" spans="1:11" ht="24" customHeight="1" x14ac:dyDescent="0.25">
      <c r="A224" s="18">
        <v>3</v>
      </c>
      <c r="B224" s="59" t="s">
        <v>151</v>
      </c>
      <c r="C224" s="20"/>
      <c r="D224" s="21">
        <f>SUM('[1]Table by district'!D540)</f>
        <v>2096</v>
      </c>
      <c r="E224" s="21">
        <f>SUM('[1]Table by district'!E540)</f>
        <v>15</v>
      </c>
      <c r="F224" s="21">
        <f>SUM('[1]Table by district'!F540)</f>
        <v>74</v>
      </c>
      <c r="G224" s="21">
        <f>SUM('[1]Table by district'!G540)</f>
        <v>181</v>
      </c>
      <c r="H224" s="21">
        <f>SUM('[1]Table by district'!H540)</f>
        <v>1159</v>
      </c>
      <c r="I224" s="21">
        <f>SUM('[1]Table by district'!I540)</f>
        <v>198</v>
      </c>
      <c r="J224" s="21">
        <f>SUM('[1]Table by district'!J540)</f>
        <v>0</v>
      </c>
      <c r="K224" s="21">
        <f>SUM('[1]Table by district'!K540)</f>
        <v>469</v>
      </c>
    </row>
    <row r="225" spans="1:11" ht="24" customHeight="1" x14ac:dyDescent="0.25">
      <c r="A225" s="55">
        <v>4</v>
      </c>
      <c r="B225" s="59" t="s">
        <v>152</v>
      </c>
      <c r="C225" s="20"/>
      <c r="D225" s="21">
        <f>SUM('[1]Table by district'!D541)</f>
        <v>7698</v>
      </c>
      <c r="E225" s="21">
        <f>SUM('[1]Table by district'!E541)</f>
        <v>60</v>
      </c>
      <c r="F225" s="21">
        <f>SUM('[1]Table by district'!F541)</f>
        <v>224</v>
      </c>
      <c r="G225" s="21">
        <f>SUM('[1]Table by district'!G541)</f>
        <v>782</v>
      </c>
      <c r="H225" s="21">
        <f>SUM('[1]Table by district'!H541)</f>
        <v>4221</v>
      </c>
      <c r="I225" s="21">
        <f>SUM('[1]Table by district'!I541)</f>
        <v>580</v>
      </c>
      <c r="J225" s="21">
        <f>SUM('[1]Table by district'!J541)</f>
        <v>0</v>
      </c>
      <c r="K225" s="21">
        <f>SUM('[1]Table by district'!K541)</f>
        <v>1831</v>
      </c>
    </row>
    <row r="226" spans="1:11" ht="24" customHeight="1" x14ac:dyDescent="0.25">
      <c r="A226" s="58">
        <v>5</v>
      </c>
      <c r="B226" s="59" t="s">
        <v>153</v>
      </c>
      <c r="C226" s="20"/>
      <c r="D226" s="21">
        <f>SUM('[1]Table by district'!D542)</f>
        <v>6453</v>
      </c>
      <c r="E226" s="21">
        <f>SUM('[1]Table by district'!E542)</f>
        <v>110</v>
      </c>
      <c r="F226" s="21">
        <f>SUM('[1]Table by district'!F542)</f>
        <v>185</v>
      </c>
      <c r="G226" s="21">
        <f>SUM('[1]Table by district'!G542)</f>
        <v>0</v>
      </c>
      <c r="H226" s="21">
        <f>SUM('[1]Table by district'!H542)</f>
        <v>165</v>
      </c>
      <c r="I226" s="21">
        <f>SUM('[1]Table by district'!I542)</f>
        <v>1064</v>
      </c>
      <c r="J226" s="21">
        <f>SUM('[1]Table by district'!J542)</f>
        <v>4929</v>
      </c>
      <c r="K226" s="21">
        <f>SUM('[1]Table by district'!K542)</f>
        <v>0</v>
      </c>
    </row>
    <row r="227" spans="1:11" ht="24" customHeight="1" x14ac:dyDescent="0.25">
      <c r="A227" s="18">
        <v>6</v>
      </c>
      <c r="B227" s="59" t="s">
        <v>154</v>
      </c>
      <c r="C227" s="50"/>
      <c r="D227" s="21">
        <f>SUM('[1]Table by district'!D543)</f>
        <v>557</v>
      </c>
      <c r="E227" s="21">
        <f>SUM('[1]Table by district'!E543)</f>
        <v>316</v>
      </c>
      <c r="F227" s="21">
        <f>SUM('[1]Table by district'!F543)</f>
        <v>52</v>
      </c>
      <c r="G227" s="21">
        <f>SUM('[1]Table by district'!G543)</f>
        <v>4</v>
      </c>
      <c r="H227" s="21">
        <f>SUM('[1]Table by district'!H543)</f>
        <v>8</v>
      </c>
      <c r="I227" s="21">
        <f>SUM('[1]Table by district'!I543)</f>
        <v>30</v>
      </c>
      <c r="J227" s="21">
        <f>SUM('[1]Table by district'!J543)</f>
        <v>76</v>
      </c>
      <c r="K227" s="21">
        <f>SUM('[1]Table by district'!K543)</f>
        <v>71</v>
      </c>
    </row>
    <row r="228" spans="1:11" ht="24" customHeight="1" x14ac:dyDescent="0.25">
      <c r="B228" s="49" t="str">
        <f>'[1]Table by district'!A544</f>
        <v>២៧. រដ្ឋបាលនិងសន្តិសុខ</v>
      </c>
      <c r="C228" s="12"/>
      <c r="D228" s="39"/>
      <c r="E228" s="39"/>
      <c r="F228" s="39"/>
      <c r="G228" s="39"/>
      <c r="H228" s="39"/>
      <c r="I228" s="39"/>
      <c r="J228" s="39"/>
      <c r="K228" s="39"/>
    </row>
    <row r="229" spans="1:11" ht="24" customHeight="1" x14ac:dyDescent="0.25">
      <c r="A229" s="55">
        <v>1</v>
      </c>
      <c r="B229" s="5" t="s">
        <v>155</v>
      </c>
      <c r="C229" s="16"/>
      <c r="D229" s="17">
        <f>SUM('[1]Table by district'!D545:D546)</f>
        <v>367</v>
      </c>
      <c r="E229" s="17">
        <f>SUM('[1]Table by district'!E545:E546)</f>
        <v>50</v>
      </c>
      <c r="F229" s="17">
        <f>SUM('[1]Table by district'!F545:F546)</f>
        <v>25</v>
      </c>
      <c r="G229" s="17">
        <f>SUM('[1]Table by district'!G545:G546)</f>
        <v>23</v>
      </c>
      <c r="H229" s="17">
        <f>SUM('[1]Table by district'!H545:H546)</f>
        <v>16</v>
      </c>
      <c r="I229" s="17">
        <f>SUM('[1]Table by district'!I545:I546)</f>
        <v>195</v>
      </c>
      <c r="J229" s="17">
        <f>SUM('[1]Table by district'!J545:J546)</f>
        <v>11</v>
      </c>
      <c r="K229" s="17">
        <f>SUM('[1]Table by district'!K545:K546)</f>
        <v>47</v>
      </c>
    </row>
    <row r="230" spans="1:11" ht="24" customHeight="1" x14ac:dyDescent="0.25">
      <c r="A230" s="58">
        <v>2</v>
      </c>
      <c r="B230" s="5" t="s">
        <v>156</v>
      </c>
      <c r="C230" s="20"/>
      <c r="D230" s="21">
        <f>SUM('[1]Table by district'!D547:D549)</f>
        <v>1045</v>
      </c>
      <c r="E230" s="21">
        <f>SUM('[1]Table by district'!E547:E549)</f>
        <v>78</v>
      </c>
      <c r="F230" s="21">
        <f>SUM('[1]Table by district'!F547:F549)</f>
        <v>166</v>
      </c>
      <c r="G230" s="21">
        <f>SUM('[1]Table by district'!G547:G549)</f>
        <v>117</v>
      </c>
      <c r="H230" s="21">
        <f>SUM('[1]Table by district'!H547:H549)</f>
        <v>378</v>
      </c>
      <c r="I230" s="21">
        <f>SUM('[1]Table by district'!I547:I549)</f>
        <v>187</v>
      </c>
      <c r="J230" s="21">
        <f>SUM('[1]Table by district'!J547:J549)</f>
        <v>15</v>
      </c>
      <c r="K230" s="21">
        <f>SUM('[1]Table by district'!K547:K549)</f>
        <v>104</v>
      </c>
    </row>
    <row r="231" spans="1:11" ht="24" customHeight="1" x14ac:dyDescent="0.25">
      <c r="A231" s="18">
        <v>3</v>
      </c>
      <c r="B231" s="5" t="s">
        <v>157</v>
      </c>
      <c r="C231" s="20"/>
      <c r="D231" s="21">
        <f>SUM('[1]Table by district'!D550:D551,'[1]Table by district'!D556)</f>
        <v>1654</v>
      </c>
      <c r="E231" s="21">
        <f>SUM('[1]Table by district'!E550:E551,'[1]Table by district'!E556)</f>
        <v>278</v>
      </c>
      <c r="F231" s="21">
        <f>SUM('[1]Table by district'!F550:F551,'[1]Table by district'!F556)</f>
        <v>257</v>
      </c>
      <c r="G231" s="21">
        <f>SUM('[1]Table by district'!G550:G551,'[1]Table by district'!G556)</f>
        <v>112</v>
      </c>
      <c r="H231" s="21">
        <f>SUM('[1]Table by district'!H550:H551,'[1]Table by district'!H556)</f>
        <v>292</v>
      </c>
      <c r="I231" s="21">
        <f>SUM('[1]Table by district'!I550:I551,'[1]Table by district'!I556)</f>
        <v>518</v>
      </c>
      <c r="J231" s="21">
        <f>SUM('[1]Table by district'!J550:J551,'[1]Table by district'!J556)</f>
        <v>34</v>
      </c>
      <c r="K231" s="21">
        <f>SUM('[1]Table by district'!K550:K551,'[1]Table by district'!K556)</f>
        <v>163</v>
      </c>
    </row>
    <row r="232" spans="1:11" ht="24" customHeight="1" x14ac:dyDescent="0.25">
      <c r="A232" s="55">
        <v>4</v>
      </c>
      <c r="B232" s="5" t="s">
        <v>158</v>
      </c>
      <c r="C232" s="20"/>
      <c r="D232" s="21">
        <f>SUM('[1]Table by district'!D552,'[1]Table by district'!D554)</f>
        <v>313</v>
      </c>
      <c r="E232" s="21">
        <f>SUM('[1]Table by district'!E552,'[1]Table by district'!E554)</f>
        <v>35</v>
      </c>
      <c r="F232" s="21">
        <f>SUM('[1]Table by district'!F552,'[1]Table by district'!F554)</f>
        <v>67</v>
      </c>
      <c r="G232" s="21">
        <f>SUM('[1]Table by district'!G552,'[1]Table by district'!G554)</f>
        <v>47</v>
      </c>
      <c r="H232" s="21">
        <f>SUM('[1]Table by district'!H552,'[1]Table by district'!H554)</f>
        <v>70</v>
      </c>
      <c r="I232" s="21">
        <f>SUM('[1]Table by district'!I552,'[1]Table by district'!I554)</f>
        <v>66</v>
      </c>
      <c r="J232" s="21">
        <f>SUM('[1]Table by district'!J552,'[1]Table by district'!J554)</f>
        <v>4</v>
      </c>
      <c r="K232" s="21">
        <f>SUM('[1]Table by district'!K552,'[1]Table by district'!K554)</f>
        <v>24</v>
      </c>
    </row>
    <row r="233" spans="1:11" ht="24" customHeight="1" x14ac:dyDescent="0.25">
      <c r="A233" s="58">
        <v>5</v>
      </c>
      <c r="B233" s="5" t="s">
        <v>159</v>
      </c>
      <c r="C233" s="20"/>
      <c r="D233" s="21">
        <f>SUM('[1]Table by district'!D553,'[1]Table by district'!D555)</f>
        <v>160</v>
      </c>
      <c r="E233" s="21">
        <f>SUM('[1]Table by district'!E553,'[1]Table by district'!E555)</f>
        <v>20</v>
      </c>
      <c r="F233" s="21">
        <f>SUM('[1]Table by district'!F553,'[1]Table by district'!F555)</f>
        <v>34</v>
      </c>
      <c r="G233" s="21">
        <f>SUM('[1]Table by district'!G553,'[1]Table by district'!G555)</f>
        <v>25</v>
      </c>
      <c r="H233" s="21">
        <f>SUM('[1]Table by district'!H553,'[1]Table by district'!H555)</f>
        <v>46</v>
      </c>
      <c r="I233" s="21">
        <f>SUM('[1]Table by district'!I553,'[1]Table by district'!I555)</f>
        <v>24</v>
      </c>
      <c r="J233" s="21">
        <f>SUM('[1]Table by district'!J553,'[1]Table by district'!J555)</f>
        <v>4</v>
      </c>
      <c r="K233" s="21">
        <f>SUM('[1]Table by district'!K553,'[1]Table by district'!K555)</f>
        <v>7</v>
      </c>
    </row>
    <row r="234" spans="1:11" ht="24" customHeight="1" x14ac:dyDescent="0.25">
      <c r="B234" s="49" t="str">
        <f>'[1]Table by district'!A557</f>
        <v>២៨. ចំនួនមរណភាពដែលកើតមានឡើងក្នុងឆ្នាំ</v>
      </c>
      <c r="C234" s="12"/>
      <c r="D234" s="13">
        <f>SUM(D235:D241)</f>
        <v>2653</v>
      </c>
      <c r="E234" s="13">
        <f t="shared" ref="E234:K234" si="33">SUM(E235:E241)</f>
        <v>499</v>
      </c>
      <c r="F234" s="13">
        <f t="shared" si="33"/>
        <v>383</v>
      </c>
      <c r="G234" s="13">
        <f t="shared" si="33"/>
        <v>561</v>
      </c>
      <c r="H234" s="13">
        <f t="shared" si="33"/>
        <v>271</v>
      </c>
      <c r="I234" s="13">
        <f t="shared" si="33"/>
        <v>494</v>
      </c>
      <c r="J234" s="13">
        <f t="shared" si="33"/>
        <v>202</v>
      </c>
      <c r="K234" s="13">
        <f t="shared" si="33"/>
        <v>243</v>
      </c>
    </row>
    <row r="235" spans="1:11" ht="24" customHeight="1" x14ac:dyDescent="0.25">
      <c r="A235" s="55">
        <v>1</v>
      </c>
      <c r="B235" s="5" t="s">
        <v>160</v>
      </c>
      <c r="C235" s="16"/>
      <c r="D235" s="17">
        <f>SUM('[1]Table by district'!D558:D559,'[1]Table by district'!D562:D563,'[1]Table by district'!D602:D603)</f>
        <v>8</v>
      </c>
      <c r="E235" s="17">
        <f>SUM('[1]Table by district'!E558:E559,'[1]Table by district'!E562:E563,'[1]Table by district'!E602:E603)</f>
        <v>0</v>
      </c>
      <c r="F235" s="17">
        <f>SUM('[1]Table by district'!F558:F559,'[1]Table by district'!F562:F563,'[1]Table by district'!F602:F603)</f>
        <v>3</v>
      </c>
      <c r="G235" s="17">
        <f>SUM('[1]Table by district'!G558:G559,'[1]Table by district'!G562:G563,'[1]Table by district'!G602:G603)</f>
        <v>0</v>
      </c>
      <c r="H235" s="17">
        <f>SUM('[1]Table by district'!H558:H559,'[1]Table by district'!H562:H563,'[1]Table by district'!H602:H603)</f>
        <v>3</v>
      </c>
      <c r="I235" s="17">
        <f>SUM('[1]Table by district'!I558:I559,'[1]Table by district'!I562:I563,'[1]Table by district'!I602:I603)</f>
        <v>0</v>
      </c>
      <c r="J235" s="17">
        <f>SUM('[1]Table by district'!J558:J559,'[1]Table by district'!J562:J563,'[1]Table by district'!J602:J603)</f>
        <v>0</v>
      </c>
      <c r="K235" s="17">
        <f>SUM('[1]Table by district'!K558:K559,'[1]Table by district'!K562:K563,'[1]Table by district'!K602:K603)</f>
        <v>2</v>
      </c>
    </row>
    <row r="236" spans="1:11" ht="24" customHeight="1" x14ac:dyDescent="0.25">
      <c r="A236" s="58">
        <v>2</v>
      </c>
      <c r="B236" s="5" t="s">
        <v>161</v>
      </c>
      <c r="C236" s="20"/>
      <c r="D236" s="21">
        <f>SUM('[1]Table by district'!D566:D567,'[1]Table by district'!D604)</f>
        <v>60</v>
      </c>
      <c r="E236" s="21">
        <f>SUM('[1]Table by district'!E566:E567,'[1]Table by district'!E604)</f>
        <v>11</v>
      </c>
      <c r="F236" s="21">
        <f>SUM('[1]Table by district'!F566:F567,'[1]Table by district'!F604)</f>
        <v>7</v>
      </c>
      <c r="G236" s="21">
        <f>SUM('[1]Table by district'!G566:G567,'[1]Table by district'!G604)</f>
        <v>6</v>
      </c>
      <c r="H236" s="21">
        <f>SUM('[1]Table by district'!H566:H567,'[1]Table by district'!H604)</f>
        <v>6</v>
      </c>
      <c r="I236" s="21">
        <f>SUM('[1]Table by district'!I566:I567,'[1]Table by district'!I604)</f>
        <v>21</v>
      </c>
      <c r="J236" s="21">
        <f>SUM('[1]Table by district'!J566:J567,'[1]Table by district'!J604)</f>
        <v>3</v>
      </c>
      <c r="K236" s="21">
        <f>SUM('[1]Table by district'!K566:K567,'[1]Table by district'!K604)</f>
        <v>6</v>
      </c>
    </row>
    <row r="237" spans="1:11" ht="24" customHeight="1" x14ac:dyDescent="0.25">
      <c r="A237" s="18">
        <v>3</v>
      </c>
      <c r="B237" s="5" t="s">
        <v>162</v>
      </c>
      <c r="C237" s="20"/>
      <c r="D237" s="21">
        <f>SUM('[1]Table by district'!D570:D571,'[1]Table by district'!D574:D575,'[1]Table by district'!D578:D579,'[1]Table by district'!D605:D607)</f>
        <v>11</v>
      </c>
      <c r="E237" s="21">
        <f>SUM('[1]Table by district'!E570:E571,'[1]Table by district'!E574:E575,'[1]Table by district'!E578:E579,'[1]Table by district'!E605:E607)</f>
        <v>0</v>
      </c>
      <c r="F237" s="21">
        <f>SUM('[1]Table by district'!F570:F571,'[1]Table by district'!F574:F575,'[1]Table by district'!F578:F579,'[1]Table by district'!F605:F607)</f>
        <v>0</v>
      </c>
      <c r="G237" s="21">
        <f>SUM('[1]Table by district'!G570:G571,'[1]Table by district'!G574:G575,'[1]Table by district'!G578:G579,'[1]Table by district'!G605:G607)</f>
        <v>6</v>
      </c>
      <c r="H237" s="21">
        <f>SUM('[1]Table by district'!H570:H571,'[1]Table by district'!H574:H575,'[1]Table by district'!H578:H579,'[1]Table by district'!H605:H607)</f>
        <v>0</v>
      </c>
      <c r="I237" s="21">
        <f>SUM('[1]Table by district'!I570:I571,'[1]Table by district'!I574:I575,'[1]Table by district'!I578:I579,'[1]Table by district'!I605:I607)</f>
        <v>3</v>
      </c>
      <c r="J237" s="21">
        <f>SUM('[1]Table by district'!J570:J571,'[1]Table by district'!J574:J575,'[1]Table by district'!J578:J579,'[1]Table by district'!J605:J607)</f>
        <v>0</v>
      </c>
      <c r="K237" s="21">
        <f>SUM('[1]Table by district'!K570:K571,'[1]Table by district'!K574:K575,'[1]Table by district'!K578:K579,'[1]Table by district'!K605:K607)</f>
        <v>2</v>
      </c>
    </row>
    <row r="238" spans="1:11" ht="24" customHeight="1" x14ac:dyDescent="0.25">
      <c r="A238" s="55">
        <v>4</v>
      </c>
      <c r="B238" s="5" t="s">
        <v>163</v>
      </c>
      <c r="C238" s="20"/>
      <c r="D238" s="21">
        <f>SUM('[1]Table by district'!D582:D583,'[1]Table by district'!D586:D587,'[1]Table by district'!D590:D591,'[1]Table by district'!D594:D595,'[1]Table by district'!D608:D611)</f>
        <v>29</v>
      </c>
      <c r="E238" s="21">
        <f>SUM('[1]Table by district'!E582:E583,'[1]Table by district'!E586:E587,'[1]Table by district'!E590:E591,'[1]Table by district'!E594:E595,'[1]Table by district'!E608:E611)</f>
        <v>14</v>
      </c>
      <c r="F238" s="21">
        <f>SUM('[1]Table by district'!F582:F583,'[1]Table by district'!F586:F587,'[1]Table by district'!F590:F591,'[1]Table by district'!F594:F595,'[1]Table by district'!F608:F611)</f>
        <v>1</v>
      </c>
      <c r="G238" s="21">
        <f>SUM('[1]Table by district'!G582:G583,'[1]Table by district'!G586:G587,'[1]Table by district'!G590:G591,'[1]Table by district'!G594:G595,'[1]Table by district'!G608:G611)</f>
        <v>0</v>
      </c>
      <c r="H238" s="21">
        <f>SUM('[1]Table by district'!H582:H583,'[1]Table by district'!H586:H587,'[1]Table by district'!H590:H591,'[1]Table by district'!H594:H595,'[1]Table by district'!H608:H611)</f>
        <v>4</v>
      </c>
      <c r="I238" s="21">
        <f>SUM('[1]Table by district'!I582:I583,'[1]Table by district'!I586:I587,'[1]Table by district'!I590:I591,'[1]Table by district'!I594:I595,'[1]Table by district'!I608:I611)</f>
        <v>7</v>
      </c>
      <c r="J238" s="21">
        <f>SUM('[1]Table by district'!J582:J583,'[1]Table by district'!J586:J587,'[1]Table by district'!J590:J591,'[1]Table by district'!J594:J595,'[1]Table by district'!J608:J611)</f>
        <v>0</v>
      </c>
      <c r="K238" s="21">
        <f>SUM('[1]Table by district'!K582:K583,'[1]Table by district'!K586:K587,'[1]Table by district'!K590:K591,'[1]Table by district'!K594:K595,'[1]Table by district'!K608:K611)</f>
        <v>3</v>
      </c>
    </row>
    <row r="239" spans="1:11" ht="24" customHeight="1" x14ac:dyDescent="0.25">
      <c r="A239" s="58">
        <v>5</v>
      </c>
      <c r="B239" s="5" t="s">
        <v>164</v>
      </c>
      <c r="C239" s="20"/>
      <c r="D239" s="21">
        <f>SUM('[1]Table by district'!D598:D599,'[1]Table by district'!D612)</f>
        <v>1694</v>
      </c>
      <c r="E239" s="21">
        <f>SUM('[1]Table by district'!E598:E599,'[1]Table by district'!E612)</f>
        <v>306</v>
      </c>
      <c r="F239" s="21">
        <f>SUM('[1]Table by district'!F598:F599,'[1]Table by district'!F612)</f>
        <v>258</v>
      </c>
      <c r="G239" s="21">
        <f>SUM('[1]Table by district'!G598:G599,'[1]Table by district'!G612)</f>
        <v>366</v>
      </c>
      <c r="H239" s="21">
        <f>SUM('[1]Table by district'!H598:H599,'[1]Table by district'!H612)</f>
        <v>164</v>
      </c>
      <c r="I239" s="21">
        <f>SUM('[1]Table by district'!I598:I599,'[1]Table by district'!I612)</f>
        <v>311</v>
      </c>
      <c r="J239" s="21">
        <f>SUM('[1]Table by district'!J598:J599,'[1]Table by district'!J612)</f>
        <v>137</v>
      </c>
      <c r="K239" s="21">
        <f>SUM('[1]Table by district'!K598:K599,'[1]Table by district'!K612)</f>
        <v>152</v>
      </c>
    </row>
    <row r="240" spans="1:11" ht="24" customHeight="1" x14ac:dyDescent="0.25">
      <c r="A240" s="55">
        <v>6</v>
      </c>
      <c r="B240" s="5" t="s">
        <v>165</v>
      </c>
      <c r="C240" s="20"/>
      <c r="D240" s="21">
        <f>SUM('[1]Table by district'!D560:D561,'[1]Table by district'!D564:D565,'[1]Table by district'!D568:D569,'[1]Table by district'!D572:D573,'[1]Table by district'!D576:D577,'[1]Table by district'!D580:D581,'[1]Table by district'!D584:D585,'[1]Table by district'!D588:D589,'[1]Table by district'!D592:D593,'[1]Table by district'!D596:D597,'[1]Table by district'!D600:D601)</f>
        <v>812</v>
      </c>
      <c r="E240" s="21">
        <f>SUM('[1]Table by district'!E560:E561,'[1]Table by district'!E564:E565,'[1]Table by district'!E568:E569,'[1]Table by district'!E572:E573,'[1]Table by district'!E576:E577,'[1]Table by district'!E580:E581,'[1]Table by district'!E584:E585,'[1]Table by district'!E588:E589,'[1]Table by district'!E592:E593,'[1]Table by district'!E596:E597,'[1]Table by district'!E600:E601)</f>
        <v>166</v>
      </c>
      <c r="F240" s="21">
        <f>SUM('[1]Table by district'!F560:F561,'[1]Table by district'!F564:F565,'[1]Table by district'!F568:F569,'[1]Table by district'!F572:F573,'[1]Table by district'!F576:F577,'[1]Table by district'!F580:F581,'[1]Table by district'!F584:F585,'[1]Table by district'!F588:F589,'[1]Table by district'!F592:F593,'[1]Table by district'!F596:F597,'[1]Table by district'!F600:F601)</f>
        <v>111</v>
      </c>
      <c r="G240" s="21">
        <f>SUM('[1]Table by district'!G560:G561,'[1]Table by district'!G564:G565,'[1]Table by district'!G568:G569,'[1]Table by district'!G572:G573,'[1]Table by district'!G576:G577,'[1]Table by district'!G580:G581,'[1]Table by district'!G584:G585,'[1]Table by district'!G588:G589,'[1]Table by district'!G592:G593,'[1]Table by district'!G596:G597,'[1]Table by district'!G600:G601)</f>
        <v>178</v>
      </c>
      <c r="H240" s="21">
        <f>SUM('[1]Table by district'!H560:H561,'[1]Table by district'!H564:H565,'[1]Table by district'!H568:H569,'[1]Table by district'!H572:H573,'[1]Table by district'!H576:H577,'[1]Table by district'!H580:H581,'[1]Table by district'!H584:H585,'[1]Table by district'!H588:H589,'[1]Table by district'!H592:H593,'[1]Table by district'!H596:H597,'[1]Table by district'!H600:H601)</f>
        <v>78</v>
      </c>
      <c r="I240" s="21">
        <f>SUM('[1]Table by district'!I560:I561,'[1]Table by district'!I564:I565,'[1]Table by district'!I568:I569,'[1]Table by district'!I572:I573,'[1]Table by district'!I576:I577,'[1]Table by district'!I580:I581,'[1]Table by district'!I584:I585,'[1]Table by district'!I588:I589,'[1]Table by district'!I592:I593,'[1]Table by district'!I596:I597,'[1]Table by district'!I600:I601)</f>
        <v>150</v>
      </c>
      <c r="J240" s="21">
        <f>SUM('[1]Table by district'!J560:J561,'[1]Table by district'!J564:J565,'[1]Table by district'!J568:J569,'[1]Table by district'!J572:J573,'[1]Table by district'!J576:J577,'[1]Table by district'!J580:J581,'[1]Table by district'!J584:J585,'[1]Table by district'!J588:J589,'[1]Table by district'!J592:J593,'[1]Table by district'!J596:J597,'[1]Table by district'!J600:J601)</f>
        <v>62</v>
      </c>
      <c r="K240" s="21">
        <f>SUM('[1]Table by district'!K560:K561,'[1]Table by district'!K564:K565,'[1]Table by district'!K568:K569,'[1]Table by district'!K572:K573,'[1]Table by district'!K576:K577,'[1]Table by district'!K580:K581,'[1]Table by district'!K584:K585,'[1]Table by district'!K588:K589,'[1]Table by district'!K592:K593,'[1]Table by district'!K596:K597,'[1]Table by district'!K600:K601)</f>
        <v>67</v>
      </c>
    </row>
    <row r="241" spans="1:11" ht="24" customHeight="1" x14ac:dyDescent="0.25">
      <c r="A241" s="58">
        <v>7</v>
      </c>
      <c r="B241" s="5" t="s">
        <v>166</v>
      </c>
      <c r="C241" s="20"/>
      <c r="D241" s="21">
        <f>'[1]Table by district'!D613</f>
        <v>39</v>
      </c>
      <c r="E241" s="21">
        <f>'[1]Table by district'!E613</f>
        <v>2</v>
      </c>
      <c r="F241" s="21">
        <f>'[1]Table by district'!F613</f>
        <v>3</v>
      </c>
      <c r="G241" s="21">
        <f>'[1]Table by district'!G613</f>
        <v>5</v>
      </c>
      <c r="H241" s="21">
        <f>'[1]Table by district'!H613</f>
        <v>16</v>
      </c>
      <c r="I241" s="21">
        <f>'[1]Table by district'!I613</f>
        <v>2</v>
      </c>
      <c r="J241" s="21">
        <f>'[1]Table by district'!J613</f>
        <v>0</v>
      </c>
      <c r="K241" s="21">
        <f>'[1]Table by district'!K613</f>
        <v>11</v>
      </c>
    </row>
    <row r="242" spans="1:11" ht="24" customHeight="1" x14ac:dyDescent="0.25">
      <c r="A242" s="62"/>
      <c r="B242" s="63"/>
      <c r="C242" s="39"/>
      <c r="D242" s="39"/>
      <c r="E242" s="39"/>
      <c r="F242" s="39"/>
      <c r="G242" s="39"/>
      <c r="H242" s="39"/>
      <c r="I242" s="39"/>
      <c r="J242" s="39"/>
      <c r="K242" s="39"/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CDB_2025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Ngy</dc:creator>
  <cp:lastModifiedBy>Ngy</cp:lastModifiedBy>
  <dcterms:created xsi:type="dcterms:W3CDTF">2026-08-03T06:27:57Z</dcterms:created>
  <dcterms:modified xsi:type="dcterms:W3CDTF">2026-08-03T06:28:34Z</dcterms:modified>
</cp:coreProperties>
</file>